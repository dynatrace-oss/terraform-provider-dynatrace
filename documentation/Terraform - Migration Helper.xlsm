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ynatrace-my.sharepoint.com/personal/kodai_ishikawa_dynatrace_com/Documents/"/>
    </mc:Choice>
  </mc:AlternateContent>
  <xr:revisionPtr revIDLastSave="4" documentId="8_{24A2FBA8-0201-C648-BBB4-36D920C6A051}" xr6:coauthVersionLast="47" xr6:coauthVersionMax="47" xr10:uidLastSave="{6BC8F443-CB3E-6F4F-A0C8-AF466F7F3A3F}"/>
  <bookViews>
    <workbookView xWindow="0" yWindow="760" windowWidth="34560" windowHeight="19880" activeTab="1" xr2:uid="{4C3D5975-41EE-471E-ADA1-C87DD9CFA64A}"/>
  </bookViews>
  <sheets>
    <sheet name="Info" sheetId="1" state="hidden" r:id="rId1"/>
    <sheet name="Migration Helper" sheetId="5" r:id="rId2"/>
    <sheet name="Dependency Chart" sheetId="4" r:id="rId3"/>
    <sheet name="Schema Import" sheetId="3" state="hidden" r:id="rId4"/>
  </sheets>
  <functionGroups builtInGroupCount="19"/>
  <definedNames>
    <definedName name="ExternalData_1" localSheetId="3" hidden="1">'Schema Import'!$A$1:$C$183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5" l="1"/>
  <c r="D2" i="5"/>
  <c r="C9" i="5" a="1"/>
  <c r="C9" i="5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7" i="5" a="1"/>
  <c r="C87" i="5" s="1"/>
  <c r="C86" i="5" a="1"/>
  <c r="C86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8" i="5" a="1"/>
  <c r="C178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E2" i="5"/>
  <c r="E88" i="5"/>
  <c r="F88" i="5"/>
  <c r="W88" i="5"/>
  <c r="D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E89" i="5"/>
  <c r="F89" i="5"/>
  <c r="W89" i="5"/>
  <c r="D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E147" i="5"/>
  <c r="F147" i="5"/>
  <c r="W147" i="5"/>
  <c r="D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E90" i="5"/>
  <c r="F90" i="5"/>
  <c r="W90" i="5"/>
  <c r="D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E165" i="5"/>
  <c r="F165" i="5"/>
  <c r="W165" i="5"/>
  <c r="D165" i="5"/>
  <c r="H165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E91" i="5"/>
  <c r="F91" i="5"/>
  <c r="W91" i="5"/>
  <c r="D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E92" i="5"/>
  <c r="F92" i="5"/>
  <c r="W92" i="5"/>
  <c r="D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E93" i="5"/>
  <c r="F93" i="5"/>
  <c r="W93" i="5"/>
  <c r="D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E166" i="5"/>
  <c r="F166" i="5"/>
  <c r="W166" i="5"/>
  <c r="D166" i="5"/>
  <c r="H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E94" i="5"/>
  <c r="F94" i="5"/>
  <c r="W94" i="5"/>
  <c r="D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E95" i="5"/>
  <c r="F95" i="5"/>
  <c r="W95" i="5"/>
  <c r="D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E96" i="5"/>
  <c r="F96" i="5"/>
  <c r="W96" i="5"/>
  <c r="D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E97" i="5"/>
  <c r="F97" i="5"/>
  <c r="W97" i="5"/>
  <c r="D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E98" i="5"/>
  <c r="F98" i="5"/>
  <c r="W98" i="5"/>
  <c r="D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E99" i="5"/>
  <c r="F99" i="5"/>
  <c r="W99" i="5"/>
  <c r="D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E100" i="5"/>
  <c r="F100" i="5"/>
  <c r="W100" i="5"/>
  <c r="D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E101" i="5"/>
  <c r="F101" i="5"/>
  <c r="W101" i="5"/>
  <c r="D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E102" i="5"/>
  <c r="F102" i="5"/>
  <c r="W102" i="5"/>
  <c r="D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E103" i="5"/>
  <c r="F103" i="5"/>
  <c r="W103" i="5"/>
  <c r="D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E104" i="5"/>
  <c r="F104" i="5"/>
  <c r="W104" i="5"/>
  <c r="D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E105" i="5"/>
  <c r="F105" i="5"/>
  <c r="W105" i="5"/>
  <c r="D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E106" i="5"/>
  <c r="F106" i="5"/>
  <c r="W106" i="5"/>
  <c r="D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E107" i="5"/>
  <c r="F107" i="5"/>
  <c r="W107" i="5"/>
  <c r="D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E108" i="5"/>
  <c r="F108" i="5"/>
  <c r="W108" i="5"/>
  <c r="D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E148" i="5"/>
  <c r="F148" i="5"/>
  <c r="W148" i="5"/>
  <c r="D148" i="5"/>
  <c r="H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E167" i="5"/>
  <c r="F167" i="5"/>
  <c r="W167" i="5"/>
  <c r="D167" i="5"/>
  <c r="H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E109" i="5"/>
  <c r="F109" i="5"/>
  <c r="W109" i="5"/>
  <c r="D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E110" i="5"/>
  <c r="F110" i="5"/>
  <c r="W110" i="5"/>
  <c r="D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E111" i="5"/>
  <c r="F111" i="5"/>
  <c r="W111" i="5"/>
  <c r="D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E112" i="5"/>
  <c r="F112" i="5"/>
  <c r="W112" i="5"/>
  <c r="D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E113" i="5"/>
  <c r="F113" i="5"/>
  <c r="W113" i="5"/>
  <c r="D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E114" i="5"/>
  <c r="F114" i="5"/>
  <c r="W114" i="5"/>
  <c r="D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E115" i="5"/>
  <c r="F115" i="5"/>
  <c r="W115" i="5"/>
  <c r="D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E116" i="5"/>
  <c r="F116" i="5"/>
  <c r="W116" i="5"/>
  <c r="D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E117" i="5"/>
  <c r="F117" i="5"/>
  <c r="W117" i="5"/>
  <c r="D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E118" i="5"/>
  <c r="F118" i="5"/>
  <c r="W118" i="5"/>
  <c r="D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E149" i="5"/>
  <c r="F149" i="5"/>
  <c r="W149" i="5"/>
  <c r="D149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E119" i="5"/>
  <c r="F119" i="5"/>
  <c r="W119" i="5"/>
  <c r="D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E120" i="5"/>
  <c r="F120" i="5"/>
  <c r="W120" i="5"/>
  <c r="D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E121" i="5"/>
  <c r="F121" i="5"/>
  <c r="W121" i="5"/>
  <c r="D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E122" i="5"/>
  <c r="F122" i="5"/>
  <c r="W122" i="5"/>
  <c r="D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E168" i="5"/>
  <c r="F168" i="5"/>
  <c r="W168" i="5"/>
  <c r="D168" i="5"/>
  <c r="H168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E169" i="5"/>
  <c r="F169" i="5"/>
  <c r="W169" i="5"/>
  <c r="D169" i="5"/>
  <c r="H169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E170" i="5"/>
  <c r="F170" i="5"/>
  <c r="W170" i="5"/>
  <c r="D170" i="5"/>
  <c r="H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E171" i="5"/>
  <c r="F171" i="5"/>
  <c r="W171" i="5"/>
  <c r="D171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E123" i="5"/>
  <c r="F123" i="5"/>
  <c r="W123" i="5"/>
  <c r="D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E172" i="5"/>
  <c r="F172" i="5"/>
  <c r="W172" i="5"/>
  <c r="D172" i="5"/>
  <c r="H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E124" i="5"/>
  <c r="F124" i="5"/>
  <c r="W124" i="5"/>
  <c r="D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E125" i="5"/>
  <c r="F125" i="5"/>
  <c r="W125" i="5"/>
  <c r="D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E126" i="5"/>
  <c r="F126" i="5"/>
  <c r="W126" i="5"/>
  <c r="D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E127" i="5"/>
  <c r="F127" i="5"/>
  <c r="W127" i="5"/>
  <c r="D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E128" i="5"/>
  <c r="F128" i="5"/>
  <c r="W128" i="5"/>
  <c r="D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E129" i="5"/>
  <c r="F129" i="5"/>
  <c r="W129" i="5"/>
  <c r="D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E130" i="5"/>
  <c r="F130" i="5"/>
  <c r="W130" i="5"/>
  <c r="D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E131" i="5"/>
  <c r="F131" i="5"/>
  <c r="W131" i="5"/>
  <c r="D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E173" i="5"/>
  <c r="F173" i="5"/>
  <c r="W173" i="5"/>
  <c r="D173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E132" i="5"/>
  <c r="F132" i="5"/>
  <c r="W132" i="5"/>
  <c r="D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E174" i="5"/>
  <c r="F174" i="5"/>
  <c r="W174" i="5"/>
  <c r="D174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E133" i="5"/>
  <c r="F133" i="5"/>
  <c r="W133" i="5"/>
  <c r="D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E134" i="5"/>
  <c r="F134" i="5"/>
  <c r="W134" i="5"/>
  <c r="D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E135" i="5"/>
  <c r="F135" i="5"/>
  <c r="W135" i="5"/>
  <c r="D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E175" i="5"/>
  <c r="F175" i="5"/>
  <c r="W175" i="5"/>
  <c r="D175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E136" i="5"/>
  <c r="F136" i="5"/>
  <c r="W136" i="5"/>
  <c r="D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E176" i="5"/>
  <c r="F176" i="5"/>
  <c r="W176" i="5"/>
  <c r="D176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E137" i="5"/>
  <c r="F137" i="5"/>
  <c r="W137" i="5"/>
  <c r="D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E177" i="5"/>
  <c r="F177" i="5"/>
  <c r="W177" i="5"/>
  <c r="D177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E178" i="5"/>
  <c r="F178" i="5"/>
  <c r="W178" i="5"/>
  <c r="D178" i="5"/>
  <c r="H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E138" i="5"/>
  <c r="F138" i="5"/>
  <c r="W138" i="5"/>
  <c r="D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E139" i="5"/>
  <c r="F139" i="5"/>
  <c r="W139" i="5"/>
  <c r="D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E140" i="5"/>
  <c r="F140" i="5"/>
  <c r="W140" i="5"/>
  <c r="D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E150" i="5"/>
  <c r="F150" i="5"/>
  <c r="W150" i="5"/>
  <c r="D150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E179" i="5"/>
  <c r="F179" i="5"/>
  <c r="W179" i="5"/>
  <c r="D179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E180" i="5"/>
  <c r="F180" i="5"/>
  <c r="W180" i="5"/>
  <c r="D180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E69" i="5"/>
  <c r="F69" i="5"/>
  <c r="W69" i="5"/>
  <c r="D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E145" i="5"/>
  <c r="F145" i="5"/>
  <c r="W145" i="5"/>
  <c r="D145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E70" i="5"/>
  <c r="F70" i="5"/>
  <c r="W70" i="5"/>
  <c r="D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E71" i="5"/>
  <c r="F71" i="5"/>
  <c r="W71" i="5"/>
  <c r="D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E162" i="5"/>
  <c r="F162" i="5"/>
  <c r="W162" i="5"/>
  <c r="D162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E163" i="5"/>
  <c r="F163" i="5"/>
  <c r="W163" i="5"/>
  <c r="D163" i="5"/>
  <c r="H163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E164" i="5"/>
  <c r="F164" i="5"/>
  <c r="W164" i="5"/>
  <c r="D164" i="5"/>
  <c r="H164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E146" i="5"/>
  <c r="F146" i="5"/>
  <c r="W146" i="5"/>
  <c r="D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E72" i="5"/>
  <c r="F72" i="5"/>
  <c r="W72" i="5"/>
  <c r="D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E73" i="5"/>
  <c r="F73" i="5"/>
  <c r="W73" i="5"/>
  <c r="D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E74" i="5"/>
  <c r="F74" i="5"/>
  <c r="W74" i="5"/>
  <c r="D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E75" i="5"/>
  <c r="F75" i="5"/>
  <c r="W75" i="5"/>
  <c r="D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E76" i="5"/>
  <c r="F76" i="5"/>
  <c r="W76" i="5"/>
  <c r="D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E77" i="5"/>
  <c r="F77" i="5"/>
  <c r="W77" i="5"/>
  <c r="D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E78" i="5"/>
  <c r="F78" i="5"/>
  <c r="W78" i="5"/>
  <c r="D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E79" i="5"/>
  <c r="F79" i="5"/>
  <c r="W79" i="5"/>
  <c r="D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E80" i="5"/>
  <c r="F80" i="5"/>
  <c r="W80" i="5"/>
  <c r="D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E81" i="5"/>
  <c r="F81" i="5"/>
  <c r="W81" i="5"/>
  <c r="D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E82" i="5"/>
  <c r="F82" i="5"/>
  <c r="W82" i="5"/>
  <c r="D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E83" i="5"/>
  <c r="F83" i="5"/>
  <c r="W83" i="5"/>
  <c r="D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E84" i="5"/>
  <c r="F84" i="5"/>
  <c r="W84" i="5"/>
  <c r="D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E85" i="5"/>
  <c r="F85" i="5"/>
  <c r="W85" i="5"/>
  <c r="D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E87" i="5"/>
  <c r="F87" i="5"/>
  <c r="W87" i="5"/>
  <c r="D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E86" i="5"/>
  <c r="F86" i="5"/>
  <c r="W86" i="5"/>
  <c r="D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E155" i="5"/>
  <c r="F155" i="5"/>
  <c r="W155" i="5"/>
  <c r="D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E156" i="5"/>
  <c r="F156" i="5"/>
  <c r="W156" i="5"/>
  <c r="D156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E157" i="5"/>
  <c r="F157" i="5"/>
  <c r="W157" i="5"/>
  <c r="D157" i="5"/>
  <c r="H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E22" i="5"/>
  <c r="F22" i="5"/>
  <c r="W22" i="5"/>
  <c r="D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E23" i="5"/>
  <c r="F23" i="5"/>
  <c r="W23" i="5"/>
  <c r="D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E24" i="5"/>
  <c r="F24" i="5"/>
  <c r="W24" i="5"/>
  <c r="D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E25" i="5"/>
  <c r="F25" i="5"/>
  <c r="W25" i="5"/>
  <c r="D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E26" i="5"/>
  <c r="F26" i="5"/>
  <c r="W26" i="5"/>
  <c r="D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E158" i="5"/>
  <c r="F158" i="5"/>
  <c r="W158" i="5"/>
  <c r="D158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E27" i="5"/>
  <c r="F27" i="5"/>
  <c r="W27" i="5"/>
  <c r="D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E28" i="5"/>
  <c r="F28" i="5"/>
  <c r="W28" i="5"/>
  <c r="D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E29" i="5"/>
  <c r="F29" i="5"/>
  <c r="W29" i="5"/>
  <c r="D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E30" i="5"/>
  <c r="F30" i="5"/>
  <c r="W30" i="5"/>
  <c r="D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E31" i="5"/>
  <c r="F31" i="5"/>
  <c r="W31" i="5"/>
  <c r="D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E32" i="5"/>
  <c r="F32" i="5"/>
  <c r="W32" i="5"/>
  <c r="D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E33" i="5"/>
  <c r="F33" i="5"/>
  <c r="W33" i="5"/>
  <c r="D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E34" i="5"/>
  <c r="F34" i="5"/>
  <c r="W34" i="5"/>
  <c r="D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E159" i="5"/>
  <c r="F159" i="5"/>
  <c r="W159" i="5"/>
  <c r="D159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E35" i="5"/>
  <c r="F35" i="5"/>
  <c r="W35" i="5"/>
  <c r="D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E36" i="5"/>
  <c r="F36" i="5"/>
  <c r="W36" i="5"/>
  <c r="D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E37" i="5"/>
  <c r="F37" i="5"/>
  <c r="W37" i="5"/>
  <c r="D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E38" i="5"/>
  <c r="F38" i="5"/>
  <c r="W38" i="5"/>
  <c r="D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E143" i="5"/>
  <c r="F143" i="5"/>
  <c r="W143" i="5"/>
  <c r="D143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E39" i="5"/>
  <c r="F39" i="5"/>
  <c r="W39" i="5"/>
  <c r="D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E40" i="5"/>
  <c r="F40" i="5"/>
  <c r="W40" i="5"/>
  <c r="D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E41" i="5"/>
  <c r="F41" i="5"/>
  <c r="W41" i="5"/>
  <c r="D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E42" i="5"/>
  <c r="F42" i="5"/>
  <c r="W42" i="5"/>
  <c r="D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E43" i="5"/>
  <c r="F43" i="5"/>
  <c r="W43" i="5"/>
  <c r="D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E44" i="5"/>
  <c r="F44" i="5"/>
  <c r="W44" i="5"/>
  <c r="D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E45" i="5"/>
  <c r="F45" i="5"/>
  <c r="W45" i="5"/>
  <c r="D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E46" i="5"/>
  <c r="F46" i="5"/>
  <c r="W46" i="5"/>
  <c r="D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E160" i="5"/>
  <c r="F160" i="5"/>
  <c r="W160" i="5"/>
  <c r="D160" i="5"/>
  <c r="H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E183" i="5"/>
  <c r="F183" i="5"/>
  <c r="W183" i="5"/>
  <c r="D183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E184" i="5"/>
  <c r="F184" i="5"/>
  <c r="W184" i="5"/>
  <c r="D184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E185" i="5"/>
  <c r="F185" i="5"/>
  <c r="W185" i="5"/>
  <c r="D185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E47" i="5"/>
  <c r="F47" i="5"/>
  <c r="W47" i="5"/>
  <c r="D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E48" i="5"/>
  <c r="F48" i="5"/>
  <c r="W48" i="5"/>
  <c r="D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E49" i="5"/>
  <c r="F49" i="5"/>
  <c r="W49" i="5"/>
  <c r="D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E161" i="5"/>
  <c r="F161" i="5"/>
  <c r="W161" i="5"/>
  <c r="D161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E186" i="5"/>
  <c r="F186" i="5"/>
  <c r="W186" i="5"/>
  <c r="D186" i="5"/>
  <c r="H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E50" i="5"/>
  <c r="F50" i="5"/>
  <c r="W50" i="5"/>
  <c r="D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E51" i="5"/>
  <c r="F51" i="5"/>
  <c r="W51" i="5"/>
  <c r="D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E52" i="5"/>
  <c r="F52" i="5"/>
  <c r="W52" i="5"/>
  <c r="D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E53" i="5"/>
  <c r="F53" i="5"/>
  <c r="W53" i="5"/>
  <c r="D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E54" i="5"/>
  <c r="F54" i="5"/>
  <c r="W54" i="5"/>
  <c r="D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E55" i="5"/>
  <c r="F55" i="5"/>
  <c r="W55" i="5"/>
  <c r="D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E56" i="5"/>
  <c r="F56" i="5"/>
  <c r="W56" i="5"/>
  <c r="D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E57" i="5"/>
  <c r="F57" i="5"/>
  <c r="W57" i="5"/>
  <c r="D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E58" i="5"/>
  <c r="F58" i="5"/>
  <c r="W58" i="5"/>
  <c r="D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E59" i="5"/>
  <c r="F59" i="5"/>
  <c r="W59" i="5"/>
  <c r="D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E60" i="5"/>
  <c r="F60" i="5"/>
  <c r="W60" i="5"/>
  <c r="D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E61" i="5"/>
  <c r="F61" i="5"/>
  <c r="W61" i="5"/>
  <c r="D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E62" i="5"/>
  <c r="F62" i="5"/>
  <c r="W62" i="5"/>
  <c r="D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E63" i="5"/>
  <c r="F63" i="5"/>
  <c r="W63" i="5"/>
  <c r="D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E64" i="5"/>
  <c r="F64" i="5"/>
  <c r="W64" i="5"/>
  <c r="D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E65" i="5"/>
  <c r="F65" i="5"/>
  <c r="W65" i="5"/>
  <c r="D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E66" i="5"/>
  <c r="F66" i="5"/>
  <c r="W66" i="5"/>
  <c r="D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E67" i="5"/>
  <c r="F67" i="5"/>
  <c r="W67" i="5"/>
  <c r="D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E68" i="5"/>
  <c r="F68" i="5"/>
  <c r="W68" i="5"/>
  <c r="D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E144" i="5"/>
  <c r="F144" i="5"/>
  <c r="W144" i="5"/>
  <c r="D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E7" i="5"/>
  <c r="F7" i="5"/>
  <c r="W7" i="5"/>
  <c r="D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E8" i="5"/>
  <c r="F8" i="5"/>
  <c r="W8" i="5"/>
  <c r="D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E9" i="5"/>
  <c r="F9" i="5"/>
  <c r="W9" i="5"/>
  <c r="D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E10" i="5"/>
  <c r="F10" i="5"/>
  <c r="W10" i="5"/>
  <c r="D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E154" i="5"/>
  <c r="F154" i="5"/>
  <c r="W154" i="5"/>
  <c r="D154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E181" i="5"/>
  <c r="F181" i="5"/>
  <c r="W181" i="5"/>
  <c r="D181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E182" i="5"/>
  <c r="F182" i="5"/>
  <c r="W182" i="5"/>
  <c r="D182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E11" i="5"/>
  <c r="F11" i="5"/>
  <c r="W11" i="5"/>
  <c r="D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E12" i="5"/>
  <c r="F12" i="5"/>
  <c r="W12" i="5"/>
  <c r="D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E13" i="5"/>
  <c r="F13" i="5"/>
  <c r="W13" i="5"/>
  <c r="D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E14" i="5"/>
  <c r="F14" i="5"/>
  <c r="W14" i="5"/>
  <c r="D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E142" i="5"/>
  <c r="F142" i="5"/>
  <c r="W142" i="5"/>
  <c r="D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E15" i="5"/>
  <c r="F15" i="5"/>
  <c r="W15" i="5"/>
  <c r="D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E16" i="5"/>
  <c r="F16" i="5"/>
  <c r="W16" i="5"/>
  <c r="D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E17" i="5"/>
  <c r="F17" i="5"/>
  <c r="W17" i="5"/>
  <c r="D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E18" i="5"/>
  <c r="F18" i="5"/>
  <c r="W18" i="5"/>
  <c r="D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E19" i="5"/>
  <c r="F19" i="5"/>
  <c r="W19" i="5"/>
  <c r="D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E20" i="5"/>
  <c r="F20" i="5"/>
  <c r="W20" i="5"/>
  <c r="D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E21" i="5"/>
  <c r="F21" i="5"/>
  <c r="W21" i="5"/>
  <c r="D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E151" i="5"/>
  <c r="F151" i="5"/>
  <c r="W151" i="5"/>
  <c r="D151" i="5"/>
  <c r="H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E5" i="5"/>
  <c r="F5" i="5"/>
  <c r="W5" i="5"/>
  <c r="D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E152" i="5"/>
  <c r="F152" i="5"/>
  <c r="W152" i="5"/>
  <c r="D152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E153" i="5"/>
  <c r="F153" i="5"/>
  <c r="W153" i="5"/>
  <c r="D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E6" i="5"/>
  <c r="F6" i="5"/>
  <c r="W6" i="5"/>
  <c r="D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F2" i="5"/>
  <c r="W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E3" i="5"/>
  <c r="F3" i="5"/>
  <c r="W3" i="5"/>
  <c r="D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E4" i="5"/>
  <c r="F4" i="5"/>
  <c r="W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E141" i="5"/>
  <c r="F141" i="5"/>
  <c r="W141" i="5"/>
  <c r="D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F7" i="1"/>
  <c r="F2" i="1"/>
  <c r="F3" i="1"/>
  <c r="F4" i="1"/>
  <c r="F5" i="1"/>
  <c r="F6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J2" i="1"/>
  <c r="G2" i="5" s="1"/>
  <c r="J3" i="1"/>
  <c r="G3" i="5" s="1"/>
  <c r="J4" i="1"/>
  <c r="G4" i="5" s="1"/>
  <c r="J5" i="1"/>
  <c r="G141" i="5" s="1"/>
  <c r="J6" i="1"/>
  <c r="J7" i="1"/>
  <c r="G151" i="5" s="1"/>
  <c r="J8" i="1"/>
  <c r="G5" i="5" s="1"/>
  <c r="J9" i="1"/>
  <c r="J10" i="1"/>
  <c r="J11" i="1"/>
  <c r="G152" i="5" s="1"/>
  <c r="J12" i="1"/>
  <c r="J13" i="1"/>
  <c r="G153" i="5" s="1"/>
  <c r="J14" i="1"/>
  <c r="G6" i="5" s="1"/>
  <c r="J15" i="1"/>
  <c r="J16" i="1"/>
  <c r="G7" i="5" s="1"/>
  <c r="J17" i="1"/>
  <c r="G8" i="5" s="1"/>
  <c r="J18" i="1"/>
  <c r="G9" i="5" s="1"/>
  <c r="J19" i="1"/>
  <c r="G10" i="5" s="1"/>
  <c r="J20" i="1"/>
  <c r="G154" i="5" s="1"/>
  <c r="J21" i="1"/>
  <c r="G181" i="5" s="1"/>
  <c r="J22" i="1"/>
  <c r="G182" i="5" s="1"/>
  <c r="J23" i="1"/>
  <c r="G11" i="5" s="1"/>
  <c r="J24" i="1"/>
  <c r="G12" i="5" s="1"/>
  <c r="J25" i="1"/>
  <c r="G13" i="5" s="1"/>
  <c r="J26" i="1"/>
  <c r="G14" i="5" s="1"/>
  <c r="J27" i="1"/>
  <c r="G142" i="5" s="1"/>
  <c r="J28" i="1"/>
  <c r="G15" i="5" s="1"/>
  <c r="J29" i="1"/>
  <c r="G16" i="5" s="1"/>
  <c r="J30" i="1"/>
  <c r="J31" i="1"/>
  <c r="G17" i="5" s="1"/>
  <c r="J32" i="1"/>
  <c r="G18" i="5" s="1"/>
  <c r="J33" i="1"/>
  <c r="G19" i="5" s="1"/>
  <c r="J34" i="1"/>
  <c r="G20" i="5" s="1"/>
  <c r="J35" i="1"/>
  <c r="G21" i="5" s="1"/>
  <c r="J36" i="1"/>
  <c r="J37" i="1"/>
  <c r="G155" i="5" s="1"/>
  <c r="J38" i="1"/>
  <c r="G156" i="5" s="1"/>
  <c r="J39" i="1"/>
  <c r="G157" i="5" s="1"/>
  <c r="J40" i="1"/>
  <c r="G22" i="5" s="1"/>
  <c r="J41" i="1"/>
  <c r="G23" i="5" s="1"/>
  <c r="J42" i="1"/>
  <c r="J43" i="1"/>
  <c r="J44" i="1"/>
  <c r="G24" i="5" s="1"/>
  <c r="J45" i="1"/>
  <c r="G25" i="5" s="1"/>
  <c r="J46" i="1"/>
  <c r="G26" i="5" s="1"/>
  <c r="J47" i="1"/>
  <c r="G158" i="5" s="1"/>
  <c r="J48" i="1"/>
  <c r="J49" i="1"/>
  <c r="G27" i="5" s="1"/>
  <c r="J50" i="1"/>
  <c r="G28" i="5" s="1"/>
  <c r="J51" i="1"/>
  <c r="G29" i="5" s="1"/>
  <c r="J52" i="1"/>
  <c r="G30" i="5" s="1"/>
  <c r="J53" i="1"/>
  <c r="J54" i="1"/>
  <c r="G31" i="5" s="1"/>
  <c r="J55" i="1"/>
  <c r="G32" i="5" s="1"/>
  <c r="J56" i="1"/>
  <c r="G33" i="5" s="1"/>
  <c r="J57" i="1"/>
  <c r="G34" i="5" s="1"/>
  <c r="J58" i="1"/>
  <c r="G159" i="5" s="1"/>
  <c r="J59" i="1"/>
  <c r="G35" i="5" s="1"/>
  <c r="J60" i="1"/>
  <c r="G36" i="5" s="1"/>
  <c r="J61" i="1"/>
  <c r="G37" i="5" s="1"/>
  <c r="J62" i="1"/>
  <c r="G38" i="5" s="1"/>
  <c r="J63" i="1"/>
  <c r="G143" i="5" s="1"/>
  <c r="J64" i="1"/>
  <c r="G39" i="5" s="1"/>
  <c r="J65" i="1"/>
  <c r="G40" i="5" s="1"/>
  <c r="J66" i="1"/>
  <c r="G41" i="5" s="1"/>
  <c r="J67" i="1"/>
  <c r="G42" i="5" s="1"/>
  <c r="J68" i="1"/>
  <c r="J69" i="1"/>
  <c r="G43" i="5" s="1"/>
  <c r="J70" i="1"/>
  <c r="G44" i="5" s="1"/>
  <c r="J71" i="1"/>
  <c r="G45" i="5" s="1"/>
  <c r="J72" i="1"/>
  <c r="G46" i="5" s="1"/>
  <c r="J73" i="1"/>
  <c r="G160" i="5" s="1"/>
  <c r="J74" i="1"/>
  <c r="G183" i="5" s="1"/>
  <c r="J75" i="1"/>
  <c r="G184" i="5" s="1"/>
  <c r="J76" i="1"/>
  <c r="G185" i="5" s="1"/>
  <c r="J77" i="1"/>
  <c r="J78" i="1"/>
  <c r="J79" i="1"/>
  <c r="J80" i="1"/>
  <c r="J81" i="1"/>
  <c r="J82" i="1"/>
  <c r="G47" i="5" s="1"/>
  <c r="J83" i="1"/>
  <c r="G48" i="5" s="1"/>
  <c r="J84" i="1"/>
  <c r="G49" i="5" s="1"/>
  <c r="J85" i="1"/>
  <c r="G161" i="5" s="1"/>
  <c r="J86" i="1"/>
  <c r="G186" i="5" s="1"/>
  <c r="J87" i="1"/>
  <c r="G50" i="5" s="1"/>
  <c r="J88" i="1"/>
  <c r="J89" i="1"/>
  <c r="G51" i="5" s="1"/>
  <c r="J90" i="1"/>
  <c r="G52" i="5" s="1"/>
  <c r="J91" i="1"/>
  <c r="G53" i="5" s="1"/>
  <c r="J92" i="1"/>
  <c r="G54" i="5" s="1"/>
  <c r="J93" i="1"/>
  <c r="G55" i="5" s="1"/>
  <c r="J94" i="1"/>
  <c r="G56" i="5" s="1"/>
  <c r="J95" i="1"/>
  <c r="G57" i="5" s="1"/>
  <c r="J96" i="1"/>
  <c r="G58" i="5" s="1"/>
  <c r="J97" i="1"/>
  <c r="G59" i="5" s="1"/>
  <c r="J98" i="1"/>
  <c r="G60" i="5" s="1"/>
  <c r="J99" i="1"/>
  <c r="G61" i="5" s="1"/>
  <c r="J100" i="1"/>
  <c r="G62" i="5" s="1"/>
  <c r="J101" i="1"/>
  <c r="G63" i="5" s="1"/>
  <c r="J102" i="1"/>
  <c r="G64" i="5" s="1"/>
  <c r="J103" i="1"/>
  <c r="G65" i="5" s="1"/>
  <c r="J104" i="1"/>
  <c r="G66" i="5" s="1"/>
  <c r="J105" i="1"/>
  <c r="G67" i="5" s="1"/>
  <c r="J106" i="1"/>
  <c r="G68" i="5" s="1"/>
  <c r="J107" i="1"/>
  <c r="G144" i="5" s="1"/>
  <c r="J108" i="1"/>
  <c r="J109" i="1"/>
  <c r="J110" i="1"/>
  <c r="G69" i="5" s="1"/>
  <c r="J111" i="1"/>
  <c r="G145" i="5" s="1"/>
  <c r="J112" i="1"/>
  <c r="G70" i="5" s="1"/>
  <c r="J113" i="1"/>
  <c r="G71" i="5" s="1"/>
  <c r="J114" i="1"/>
  <c r="G162" i="5" s="1"/>
  <c r="J115" i="1"/>
  <c r="G163" i="5" s="1"/>
  <c r="J116" i="1"/>
  <c r="G164" i="5" s="1"/>
  <c r="J117" i="1"/>
  <c r="J118" i="1"/>
  <c r="G146" i="5" s="1"/>
  <c r="J119" i="1"/>
  <c r="G72" i="5" s="1"/>
  <c r="J120" i="1"/>
  <c r="G73" i="5" s="1"/>
  <c r="J121" i="1"/>
  <c r="G74" i="5" s="1"/>
  <c r="J122" i="1"/>
  <c r="G75" i="5" s="1"/>
  <c r="J123" i="1"/>
  <c r="G76" i="5" s="1"/>
  <c r="J124" i="1"/>
  <c r="G77" i="5" s="1"/>
  <c r="J125" i="1"/>
  <c r="G78" i="5" s="1"/>
  <c r="J126" i="1"/>
  <c r="G79" i="5" s="1"/>
  <c r="J127" i="1"/>
  <c r="G80" i="5" s="1"/>
  <c r="J128" i="1"/>
  <c r="G81" i="5" s="1"/>
  <c r="J129" i="1"/>
  <c r="G82" i="5" s="1"/>
  <c r="J130" i="1"/>
  <c r="G83" i="5" s="1"/>
  <c r="J131" i="1"/>
  <c r="G84" i="5" s="1"/>
  <c r="J132" i="1"/>
  <c r="G85" i="5" s="1"/>
  <c r="J133" i="1"/>
  <c r="G87" i="5" s="1"/>
  <c r="J134" i="1"/>
  <c r="G86" i="5" s="1"/>
  <c r="J135" i="1"/>
  <c r="J136" i="1"/>
  <c r="G88" i="5" s="1"/>
  <c r="J137" i="1"/>
  <c r="G89" i="5" s="1"/>
  <c r="J138" i="1"/>
  <c r="G147" i="5" s="1"/>
  <c r="J139" i="1"/>
  <c r="G90" i="5" s="1"/>
  <c r="J140" i="1"/>
  <c r="G165" i="5" s="1"/>
  <c r="J141" i="1"/>
  <c r="G91" i="5" s="1"/>
  <c r="J142" i="1"/>
  <c r="G92" i="5" s="1"/>
  <c r="J143" i="1"/>
  <c r="G93" i="5" s="1"/>
  <c r="J144" i="1"/>
  <c r="G166" i="5" s="1"/>
  <c r="J145" i="1"/>
  <c r="G94" i="5" s="1"/>
  <c r="J146" i="1"/>
  <c r="J147" i="1"/>
  <c r="G95" i="5" s="1"/>
  <c r="J148" i="1"/>
  <c r="G96" i="5" s="1"/>
  <c r="J149" i="1"/>
  <c r="G97" i="5" s="1"/>
  <c r="J150" i="1"/>
  <c r="G98" i="5" s="1"/>
  <c r="J151" i="1"/>
  <c r="G99" i="5" s="1"/>
  <c r="J152" i="1"/>
  <c r="G100" i="5" s="1"/>
  <c r="J153" i="1"/>
  <c r="G101" i="5" s="1"/>
  <c r="J154" i="1"/>
  <c r="G102" i="5" s="1"/>
  <c r="J155" i="1"/>
  <c r="G103" i="5" s="1"/>
  <c r="J156" i="1"/>
  <c r="G104" i="5" s="1"/>
  <c r="J157" i="1"/>
  <c r="G105" i="5" s="1"/>
  <c r="J158" i="1"/>
  <c r="G106" i="5" s="1"/>
  <c r="J159" i="1"/>
  <c r="G107" i="5" s="1"/>
  <c r="J160" i="1"/>
  <c r="G108" i="5" s="1"/>
  <c r="J161" i="1"/>
  <c r="G148" i="5" s="1"/>
  <c r="J162" i="1"/>
  <c r="G167" i="5" s="1"/>
  <c r="J163" i="1"/>
  <c r="G109" i="5" s="1"/>
  <c r="J164" i="1"/>
  <c r="G110" i="5" s="1"/>
  <c r="J165" i="1"/>
  <c r="G111" i="5" s="1"/>
  <c r="J166" i="1"/>
  <c r="G112" i="5" s="1"/>
  <c r="J167" i="1"/>
  <c r="G113" i="5" s="1"/>
  <c r="J168" i="1"/>
  <c r="G114" i="5" s="1"/>
  <c r="J169" i="1"/>
  <c r="G115" i="5" s="1"/>
  <c r="J170" i="1"/>
  <c r="J171" i="1"/>
  <c r="G116" i="5" s="1"/>
  <c r="J172" i="1"/>
  <c r="G117" i="5" s="1"/>
  <c r="J173" i="1"/>
  <c r="G118" i="5" s="1"/>
  <c r="J174" i="1"/>
  <c r="G149" i="5" s="1"/>
  <c r="J175" i="1"/>
  <c r="G119" i="5" s="1"/>
  <c r="J176" i="1"/>
  <c r="G120" i="5" s="1"/>
  <c r="J177" i="1"/>
  <c r="G121" i="5" s="1"/>
  <c r="J178" i="1"/>
  <c r="G122" i="5" s="1"/>
  <c r="J179" i="1"/>
  <c r="G168" i="5" s="1"/>
  <c r="J180" i="1"/>
  <c r="G169" i="5" s="1"/>
  <c r="J181" i="1"/>
  <c r="G170" i="5" s="1"/>
  <c r="J182" i="1"/>
  <c r="G171" i="5" s="1"/>
  <c r="J183" i="1"/>
  <c r="J184" i="1"/>
  <c r="G123" i="5" s="1"/>
  <c r="J185" i="1"/>
  <c r="G172" i="5" s="1"/>
  <c r="J186" i="1"/>
  <c r="G124" i="5" s="1"/>
  <c r="J187" i="1"/>
  <c r="G125" i="5" s="1"/>
  <c r="J188" i="1"/>
  <c r="G126" i="5" s="1"/>
  <c r="J189" i="1"/>
  <c r="G127" i="5" s="1"/>
  <c r="J190" i="1"/>
  <c r="G128" i="5" s="1"/>
  <c r="J191" i="1"/>
  <c r="G129" i="5" s="1"/>
  <c r="J192" i="1"/>
  <c r="G130" i="5" s="1"/>
  <c r="J193" i="1"/>
  <c r="G131" i="5" s="1"/>
  <c r="J194" i="1"/>
  <c r="G173" i="5" s="1"/>
  <c r="J195" i="1"/>
  <c r="G132" i="5" s="1"/>
  <c r="J196" i="1"/>
  <c r="G174" i="5" s="1"/>
  <c r="J197" i="1"/>
  <c r="G133" i="5" s="1"/>
  <c r="J198" i="1"/>
  <c r="G134" i="5" s="1"/>
  <c r="J199" i="1"/>
  <c r="G135" i="5" s="1"/>
  <c r="J200" i="1"/>
  <c r="J201" i="1"/>
  <c r="G175" i="5" s="1"/>
  <c r="J202" i="1"/>
  <c r="G136" i="5" s="1"/>
  <c r="J203" i="1"/>
  <c r="G176" i="5" s="1"/>
  <c r="J204" i="1"/>
  <c r="G137" i="5" s="1"/>
  <c r="J205" i="1"/>
  <c r="J206" i="1"/>
  <c r="G177" i="5" s="1"/>
  <c r="J207" i="1"/>
  <c r="G178" i="5" s="1"/>
  <c r="J208" i="1"/>
  <c r="G138" i="5" s="1"/>
  <c r="J209" i="1"/>
  <c r="J210" i="1"/>
  <c r="J211" i="1"/>
  <c r="J212" i="1"/>
  <c r="J213" i="1"/>
  <c r="G139" i="5" s="1"/>
  <c r="J214" i="1"/>
  <c r="G140" i="5" s="1"/>
  <c r="J215" i="1"/>
  <c r="G150" i="5" s="1"/>
  <c r="J216" i="1"/>
  <c r="G179" i="5" s="1"/>
  <c r="J217" i="1"/>
  <c r="G180" i="5" s="1"/>
  <c r="C13" i="5" a="1"/>
  <c r="C10" i="5" a="1"/>
  <c r="C12" i="5" a="1"/>
  <c r="C179" i="5" a="1"/>
  <c r="C11" i="5" a="1"/>
  <c r="C8" i="5" a="1"/>
  <c r="C7" i="5" a="1"/>
  <c r="C6" i="5" a="1"/>
  <c r="C5" i="5" a="1"/>
  <c r="C4" i="5" a="1"/>
  <c r="C3" i="5" a="1"/>
  <c r="C34" i="5" a="1"/>
  <c r="C59" i="5" a="1"/>
  <c r="C60" i="5" a="1"/>
  <c r="C61" i="5" a="1"/>
  <c r="C62" i="5" a="1"/>
  <c r="C63" i="5" a="1"/>
  <c r="C64" i="5" a="1"/>
  <c r="C66" i="5" a="1"/>
  <c r="C65" i="5" a="1"/>
  <c r="C67" i="5" a="1"/>
  <c r="C68" i="5" a="1"/>
  <c r="C69" i="5" a="1"/>
  <c r="C2" i="5" a="1"/>
  <c r="C177" i="5" a="1"/>
  <c r="C179" i="5" l="1"/>
  <c r="C7" i="5"/>
  <c r="C3" i="5"/>
  <c r="C34" i="5"/>
  <c r="C59" i="5"/>
  <c r="C60" i="5"/>
  <c r="C61" i="5"/>
  <c r="C62" i="5"/>
  <c r="C63" i="5"/>
  <c r="C64" i="5"/>
  <c r="C66" i="5"/>
  <c r="C65" i="5"/>
  <c r="C67" i="5"/>
  <c r="C68" i="5"/>
  <c r="C69" i="5"/>
  <c r="C177" i="5"/>
  <c r="C4" i="5"/>
  <c r="C11" i="5"/>
  <c r="C13" i="5"/>
  <c r="C6" i="5"/>
  <c r="C10" i="5"/>
  <c r="C12" i="5"/>
  <c r="C8" i="5"/>
  <c r="C5" i="5"/>
  <c r="C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B87C69-6DCC-024C-9C6F-A667C0A75874}" keepAlive="1" name="Query - Query" description="Connection to the 'Query' query in the workbook." type="5" refreshedVersion="8" background="1" saveData="1">
    <dbPr connection="Provider=Microsoft.Mashup.OleDb.1;Data Source=$Workbook$;Location=Query;Extended Properties=&quot;&quot;" command="SELECT * FROM [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<sst xmlns="http://schemas.openxmlformats.org/spreadsheetml/2006/main" count="2248" uniqueCount="1025">
  <si>
    <t>AutoTag</t>
  </si>
  <si>
    <t>AutoTagV2 </t>
  </si>
  <si>
    <t>CustomService </t>
  </si>
  <si>
    <t>RequestAttribute</t>
  </si>
  <si>
    <t>ApplicationAnomalies</t>
  </si>
  <si>
    <t>DatabaseAnomalies </t>
  </si>
  <si>
    <t>DiskEventAnomalies </t>
  </si>
  <si>
    <t>HostAnomalies </t>
  </si>
  <si>
    <t>ServiceAnomalies</t>
  </si>
  <si>
    <t>CustomAnomalies</t>
  </si>
  <si>
    <t>WebApplication </t>
  </si>
  <si>
    <t>MobileApplication </t>
  </si>
  <si>
    <t>MaintenanceWindow </t>
  </si>
  <si>
    <t>ManagementZone </t>
  </si>
  <si>
    <t>SLO</t>
  </si>
  <si>
    <t>SLOV2 </t>
  </si>
  <si>
    <t>SpanAttribute </t>
  </si>
  <si>
    <t>SpanCaptureRule</t>
  </si>
  <si>
    <t>SpanContextPropagation </t>
  </si>
  <si>
    <t>SpanEntryPoint </t>
  </si>
  <si>
    <t>ResourceAttributes </t>
  </si>
  <si>
    <t>JiraNotification</t>
  </si>
  <si>
    <t>WebHookNotification</t>
  </si>
  <si>
    <t>AnsibleTowerNotification</t>
  </si>
  <si>
    <t>EmailNotification </t>
  </si>
  <si>
    <t>OpsGenieNotification</t>
  </si>
  <si>
    <t>PagerDutyNotification </t>
  </si>
  <si>
    <t>ServiceNowNotification </t>
  </si>
  <si>
    <t>SlackNotification </t>
  </si>
  <si>
    <t>TrelloNotification </t>
  </si>
  <si>
    <t>VictorOpsNotification </t>
  </si>
  <si>
    <t>XMattersNotification</t>
  </si>
  <si>
    <t>Alerting</t>
  </si>
  <si>
    <t>FrequentIssues </t>
  </si>
  <si>
    <t>MetricEvents</t>
  </si>
  <si>
    <t>IBMMQFilters</t>
  </si>
  <si>
    <t>IMSBridge </t>
  </si>
  <si>
    <t>QueueManager</t>
  </si>
  <si>
    <t>KeyRequests</t>
  </si>
  <si>
    <t>Maintenance</t>
  </si>
  <si>
    <t>ManagementZoneV2</t>
  </si>
  <si>
    <t>NetworkZones</t>
  </si>
  <si>
    <t>AWSCredentials </t>
  </si>
  <si>
    <t>AzureCredentials</t>
  </si>
  <si>
    <t>CloudFoundryCredentials</t>
  </si>
  <si>
    <t>KubernetesCredentials </t>
  </si>
  <si>
    <t>Credentials</t>
  </si>
  <si>
    <t>Dashboard </t>
  </si>
  <si>
    <t>JSONDashboard </t>
  </si>
  <si>
    <t>CalculatedServiceMetric</t>
  </si>
  <si>
    <t>HostNaming </t>
  </si>
  <si>
    <t>ProcessGroupNaming </t>
  </si>
  <si>
    <t>ServiceNaming </t>
  </si>
  <si>
    <t>NetworkZone</t>
  </si>
  <si>
    <t>RequestNaming </t>
  </si>
  <si>
    <t>BrowserMonitor </t>
  </si>
  <si>
    <t>HTTPMonitor</t>
  </si>
  <si>
    <t>DashboardSharing</t>
  </si>
  <si>
    <t>ApplicationDetection</t>
  </si>
  <si>
    <t>ApplicationErrorRules </t>
  </si>
  <si>
    <t>ApplicationDataPrivacy </t>
  </si>
  <si>
    <t>SyntheticLocation </t>
  </si>
  <si>
    <t>Notification</t>
  </si>
  <si>
    <t>QueueSharingGroups </t>
  </si>
  <si>
    <t>AlertingProfile</t>
  </si>
  <si>
    <t>RequestNamings </t>
  </si>
  <si>
    <t>IAMUser</t>
  </si>
  <si>
    <t>IAMGroup</t>
  </si>
  <si>
    <t>IAMPermission </t>
  </si>
  <si>
    <t>IAMPolicy </t>
  </si>
  <si>
    <t>IAMPolicyBindings </t>
  </si>
  <si>
    <t>ProcessGroupAnomalies </t>
  </si>
  <si>
    <t>DDUPool</t>
  </si>
  <si>
    <t>ProcessGroupAlerting</t>
  </si>
  <si>
    <t>ServiceAnomaliesV2 </t>
  </si>
  <si>
    <t>DatabaseAnomaliesV2</t>
  </si>
  <si>
    <t>ProcessMonitoringRule </t>
  </si>
  <si>
    <t>DiskAnomaliesV2</t>
  </si>
  <si>
    <t>DiskSpecificAnomaliesV2</t>
  </si>
  <si>
    <t>HostAnomaliesV2</t>
  </si>
  <si>
    <t>CustomAppAnomalies </t>
  </si>
  <si>
    <t>CustomAppCrashRate </t>
  </si>
  <si>
    <t>ProcessMonitoring </t>
  </si>
  <si>
    <t>ProcessAvailability</t>
  </si>
  <si>
    <t>AdvancedProcessGroupDetectionRule </t>
  </si>
  <si>
    <t>MobileAppAnomalies </t>
  </si>
  <si>
    <t>MobileAppCrashRate </t>
  </si>
  <si>
    <t>WebAppAnomalies</t>
  </si>
  <si>
    <t>MutedRequests </t>
  </si>
  <si>
    <t>ConnectivityAlerts </t>
  </si>
  <si>
    <t>DeclarativeGrouping</t>
  </si>
  <si>
    <t>HostMonitoring </t>
  </si>
  <si>
    <t>HostProcessGroupMonitoring </t>
  </si>
  <si>
    <t>RUMIPLocations </t>
  </si>
  <si>
    <t>CustomAppEnablement</t>
  </si>
  <si>
    <t>MobileAppEnablement</t>
  </si>
  <si>
    <t>WebAppEnablement</t>
  </si>
  <si>
    <t>RUMProcessGroup</t>
  </si>
  <si>
    <t>RUMProviderBreakdown</t>
  </si>
  <si>
    <t>UserExperienceScore</t>
  </si>
  <si>
    <t>WebAppResourceCleanup </t>
  </si>
  <si>
    <t>UpdateWindows </t>
  </si>
  <si>
    <t>ProcessGroupDetectionFlags </t>
  </si>
  <si>
    <t>ProcessGroupMonitoring </t>
  </si>
  <si>
    <t>ProcessGroupSimpleDetection</t>
  </si>
  <si>
    <t>LogMetrics </t>
  </si>
  <si>
    <t>BrowserMonitorPerformanceThresholds</t>
  </si>
  <si>
    <t>HttpMonitorPerformanceThresholds</t>
  </si>
  <si>
    <t>HttpMonitorCookies </t>
  </si>
  <si>
    <t>SessionReplayWebPrivacy</t>
  </si>
  <si>
    <t>SessionReplayResourceCapture</t>
  </si>
  <si>
    <t>UsabilityAnalytics </t>
  </si>
  <si>
    <t>SyntheticAvailability </t>
  </si>
  <si>
    <t>BrowserMonitorOutageHandling</t>
  </si>
  <si>
    <t>HttpMonitorOutageHandling </t>
  </si>
  <si>
    <t>CloudAppWorkloadDetection </t>
  </si>
  <si>
    <t>MainframeTransactionMonitoring </t>
  </si>
  <si>
    <t>MonitoredTechnologiesApache</t>
  </si>
  <si>
    <t>MonitoredTechnologiesDotNet</t>
  </si>
  <si>
    <t>MonitoredTechnologiesGo</t>
  </si>
  <si>
    <t>MonitoredTechnologiesIIS</t>
  </si>
  <si>
    <t>MonitoredTechnologiesJava </t>
  </si>
  <si>
    <t>MonitoredTechnologiesNGINX </t>
  </si>
  <si>
    <t>MonitoredTechnologiesNodeJS</t>
  </si>
  <si>
    <t>MonitoredTechnologiesOpenTracing</t>
  </si>
  <si>
    <t>MonitoredTechnologiesPHP</t>
  </si>
  <si>
    <t>MonitoredTechnologiesVarnish</t>
  </si>
  <si>
    <t>MonitoredTechnologiesWSMB </t>
  </si>
  <si>
    <t>ProcessVisibility </t>
  </si>
  <si>
    <t>RUMHostHeaders </t>
  </si>
  <si>
    <t>RUMIPDetermination </t>
  </si>
  <si>
    <t>MobileAppRequestErrors </t>
  </si>
  <si>
    <t>TransactionStartFilters</t>
  </si>
  <si>
    <t>OneAgentFeatures</t>
  </si>
  <si>
    <t>RUMOverloadPrevention </t>
  </si>
  <si>
    <t>RUMAdvancedCorrelation </t>
  </si>
  <si>
    <t>WebAppBeaconOrigins</t>
  </si>
  <si>
    <t>GenericTypes</t>
  </si>
  <si>
    <t>GenericRelationships</t>
  </si>
  <si>
    <t>SLONormalization</t>
  </si>
  <si>
    <t>DataPrivacy</t>
  </si>
  <si>
    <t>ServiceFailure </t>
  </si>
  <si>
    <t>ServiceHTTPFailure </t>
  </si>
  <si>
    <t>DiskOptions</t>
  </si>
  <si>
    <t>OSServices </t>
  </si>
  <si>
    <t>ExtensionExecutionController</t>
  </si>
  <si>
    <t>NetTracerTraffic</t>
  </si>
  <si>
    <t>AIXExtension</t>
  </si>
  <si>
    <t>MetricMetadata </t>
  </si>
  <si>
    <t>MetricQuery</t>
  </si>
  <si>
    <t>ActiveGateToken</t>
  </si>
  <si>
    <t>AuditLog</t>
  </si>
  <si>
    <t>K8sClusterAnomalies</t>
  </si>
  <si>
    <t>K8sNamespaceAnomalies </t>
  </si>
  <si>
    <t>K8sNodeAnomalies</t>
  </si>
  <si>
    <t>K8sWorkloadAnomalies</t>
  </si>
  <si>
    <t>ContainerBuiltinRule</t>
  </si>
  <si>
    <t>ContainerRule </t>
  </si>
  <si>
    <t>ContainerTechnology</t>
  </si>
  <si>
    <t>RemoteEnvironments </t>
  </si>
  <si>
    <t>WebAppCustomErrors </t>
  </si>
  <si>
    <t>WebAppRequestErrors</t>
  </si>
  <si>
    <t>UserSettings</t>
  </si>
  <si>
    <t>DashboardsGeneral </t>
  </si>
  <si>
    <t>DashboardsPresets </t>
  </si>
  <si>
    <t>LogProcessing </t>
  </si>
  <si>
    <t>LogEvents </t>
  </si>
  <si>
    <t>LogTimestamp</t>
  </si>
  <si>
    <t>LogGrail</t>
  </si>
  <si>
    <t>LogCustomAttribute </t>
  </si>
  <si>
    <t>LogSensitiveDataMasking</t>
  </si>
  <si>
    <t>LogStorage </t>
  </si>
  <si>
    <t>LogBuckets </t>
  </si>
  <si>
    <t>EULASettings</t>
  </si>
  <si>
    <t>APIDetectionRules </t>
  </si>
  <si>
    <t>ServiceExternalWebRequest </t>
  </si>
  <si>
    <t>ServiceExternalWebService </t>
  </si>
  <si>
    <t>ServiceFullWebRequest </t>
  </si>
  <si>
    <t>ServiceFullWebService </t>
  </si>
  <si>
    <t>DashboardsAllowlist</t>
  </si>
  <si>
    <t>FailureDetectionParameters </t>
  </si>
  <si>
    <t>FailureDetectionRules </t>
  </si>
  <si>
    <t>LogOneAgent</t>
  </si>
  <si>
    <t>IssueTracking </t>
  </si>
  <si>
    <t>GeolocationSettings</t>
  </si>
  <si>
    <t>UserSessionCustomMetrics</t>
  </si>
  <si>
    <t>CustomUnits</t>
  </si>
  <si>
    <t>DiskAnalytics </t>
  </si>
  <si>
    <t>NetworkTraffic </t>
  </si>
  <si>
    <t>TokenSettings </t>
  </si>
  <si>
    <t>ExtensionExecutionRemote</t>
  </si>
  <si>
    <t>K8sPVCAnomalies</t>
  </si>
  <si>
    <t>UserActionCustomMetrics</t>
  </si>
  <si>
    <t>WebAppJavascriptVersion</t>
  </si>
  <si>
    <t>WebAppJavascriptUpdates</t>
  </si>
  <si>
    <t>OpenTelemetryMetrics</t>
  </si>
  <si>
    <t>ActiveGateUpdates </t>
  </si>
  <si>
    <t>OneAgentDefaultVersion </t>
  </si>
  <si>
    <t>OneAgentUpdates</t>
  </si>
  <si>
    <t>OwnershipTeams </t>
  </si>
  <si>
    <t>OwnershipConfig</t>
  </si>
  <si>
    <t>LogCustomSource</t>
  </si>
  <si>
    <t>ApplicationDetectionV2 </t>
  </si>
  <si>
    <t>Kubernetes </t>
  </si>
  <si>
    <t>CloudFoundry</t>
  </si>
  <si>
    <t>DiskAnomalyDetectionRules </t>
  </si>
  <si>
    <t>AWSAnomalies</t>
  </si>
  <si>
    <t>VMwareAnomalies</t>
  </si>
  <si>
    <t>BusinessEventsOneAgent </t>
  </si>
  <si>
    <t>BusinessEventsBuckets </t>
  </si>
  <si>
    <t>BusinessEventsMetrics </t>
  </si>
  <si>
    <t>BusinessEventsProcessing</t>
  </si>
  <si>
    <t>WebAppKeyPerformanceCustom </t>
  </si>
  <si>
    <t>WebAppKeyPerformanceLoad</t>
  </si>
  <si>
    <t>WebAppKeyPerformanceXHR</t>
  </si>
  <si>
    <t>dynatrace_autotag_v2</t>
  </si>
  <si>
    <t>dynatrace_custom_service</t>
  </si>
  <si>
    <t>dynatrace_request_attribute</t>
  </si>
  <si>
    <t>dynatrace_application_anomalies</t>
  </si>
  <si>
    <t>dynatrace_database_anomalies</t>
  </si>
  <si>
    <t>dynatrace_disk_anomalies</t>
  </si>
  <si>
    <t>dynatrace_host_anomalies</t>
  </si>
  <si>
    <t>dynatrace_service_anomalies</t>
  </si>
  <si>
    <t>dynatrace_custom_anomalies</t>
  </si>
  <si>
    <t>dynatrace_web_application</t>
  </si>
  <si>
    <t>dynatrace_mobile_application</t>
  </si>
  <si>
    <t>dynatrace_maintenance_window</t>
  </si>
  <si>
    <t>dynatrace_management_zone</t>
  </si>
  <si>
    <t>dynatrace_slo</t>
  </si>
  <si>
    <t>dynatrace_slo_v2</t>
  </si>
  <si>
    <t>dynatrace_span_attribute</t>
  </si>
  <si>
    <t>dynatrace_span_capture_rule</t>
  </si>
  <si>
    <t>dynatrace_span_context_propagation</t>
  </si>
  <si>
    <t>dynatrace_span_entry_point</t>
  </si>
  <si>
    <t>dynatrace_resource_attributes</t>
  </si>
  <si>
    <t>dynatrace_jira_notification</t>
  </si>
  <si>
    <t>dynatrace_webhook_notification</t>
  </si>
  <si>
    <t>dynatrace_ansible_tower_notification</t>
  </si>
  <si>
    <t>dynatrace_email_notification</t>
  </si>
  <si>
    <t>dynatrace_ops_genie_notification</t>
  </si>
  <si>
    <t>dynatrace_pager_duty_notification</t>
  </si>
  <si>
    <t>dynatrace_service_now_notification</t>
  </si>
  <si>
    <t>dynatrace_slack_notification</t>
  </si>
  <si>
    <t>dynatrace_trello_notification</t>
  </si>
  <si>
    <t>dynatrace_victor_ops_notification</t>
  </si>
  <si>
    <t>dynatrace_xmatters_notification</t>
  </si>
  <si>
    <t>dynatrace_alerting</t>
  </si>
  <si>
    <t>dynatrace_frequent_issues</t>
  </si>
  <si>
    <t>dynatrace_metric_events</t>
  </si>
  <si>
    <t>dynatrace_ibm_mq_filters</t>
  </si>
  <si>
    <t>dynatrace_ims_bridges</t>
  </si>
  <si>
    <t>dynatrace_queue_manager</t>
  </si>
  <si>
    <t>dynatrace_key_requests</t>
  </si>
  <si>
    <t>dynatrace_maintenance</t>
  </si>
  <si>
    <t>dynatrace_management_zone_v2</t>
  </si>
  <si>
    <t>dynatrace_network_zones</t>
  </si>
  <si>
    <t>dynatrace_aws_credentials</t>
  </si>
  <si>
    <t>dynatrace_azure_credentials</t>
  </si>
  <si>
    <t>dynatrace_cloudfoundry_credentials</t>
  </si>
  <si>
    <t>dynatrace_k8s_credentials</t>
  </si>
  <si>
    <t>dynatrace_credentials</t>
  </si>
  <si>
    <t>dynatrace_dashboard</t>
  </si>
  <si>
    <t>dynatrace_json_dashboard</t>
  </si>
  <si>
    <t>dynatrace_calculated_service_metric</t>
  </si>
  <si>
    <t>dynatrace_host_naming</t>
  </si>
  <si>
    <t>dynatrace_processgroup_naming</t>
  </si>
  <si>
    <t>dynatrace_service_naming</t>
  </si>
  <si>
    <t>dynatrace_network_zone</t>
  </si>
  <si>
    <t>dynatrace_request_naming</t>
  </si>
  <si>
    <t>dynatrace_browser_monitor</t>
  </si>
  <si>
    <t>dynatrace_http_monitor</t>
  </si>
  <si>
    <t>dynatrace_dashboard_sharing</t>
  </si>
  <si>
    <t>dynatrace_application_detection_rule</t>
  </si>
  <si>
    <t>dynatrace_application_error_rules</t>
  </si>
  <si>
    <t>dynatrace_application_data_privacy</t>
  </si>
  <si>
    <t>dynatrace_synthetic_location</t>
  </si>
  <si>
    <t>dynatrace_notification</t>
  </si>
  <si>
    <t>dynatrace_queue_sharing_groups</t>
  </si>
  <si>
    <t>dynatrace_alerting_profile</t>
  </si>
  <si>
    <t>dynatrace_request_namings</t>
  </si>
  <si>
    <t>dynatrace_iam_user</t>
  </si>
  <si>
    <t>dynatrace_iam_group</t>
  </si>
  <si>
    <t>dynatrace_iam_permission</t>
  </si>
  <si>
    <t>dynatrace_iam_policy</t>
  </si>
  <si>
    <t>dynatrace_iam_policy_bindings</t>
  </si>
  <si>
    <t>dynatrace_pg_anomalies</t>
  </si>
  <si>
    <t>dynatrace_ddu_pool</t>
  </si>
  <si>
    <t>dynatrace_pg_alerting</t>
  </si>
  <si>
    <t>dynatrace_service_anomalies_v2</t>
  </si>
  <si>
    <t>dynatrace_database_anomalies_v2</t>
  </si>
  <si>
    <t>dynatrace_process_monitoring_rule</t>
  </si>
  <si>
    <t>dynatrace_disk_anomalies_v2</t>
  </si>
  <si>
    <t>dynatrace_disk_specific_anomalies_v2</t>
  </si>
  <si>
    <t>dynatrace_host_anomalies_v2</t>
  </si>
  <si>
    <t>dynatrace_custom_app_anomalies</t>
  </si>
  <si>
    <t>dynatrace_custom_app_crash_rate</t>
  </si>
  <si>
    <t>dynatrace_process_monitoring</t>
  </si>
  <si>
    <t>dynatrace_process_availability</t>
  </si>
  <si>
    <t>dynatrace_process_group_detection</t>
  </si>
  <si>
    <t>dynatrace_mobile_app_anomalies</t>
  </si>
  <si>
    <t>dynatrace_mobile_app_crash_rate</t>
  </si>
  <si>
    <t>dynatrace_web_app_anomalies</t>
  </si>
  <si>
    <t>dynatrace_muted_requests</t>
  </si>
  <si>
    <t>dynatrace_connectivity_alerts</t>
  </si>
  <si>
    <t>dynatrace_declarative_grouping</t>
  </si>
  <si>
    <t>dynatrace_host_monitoring</t>
  </si>
  <si>
    <t>dynatrace_host_process_group_monitoring</t>
  </si>
  <si>
    <t>dynatrace_rum_ip_locations</t>
  </si>
  <si>
    <t>dynatrace_custom_app_enablement</t>
  </si>
  <si>
    <t>dynatrace_mobile_app_enablement</t>
  </si>
  <si>
    <t>dynatrace_web_app_enablement</t>
  </si>
  <si>
    <t>dynatrace_process_group_rum</t>
  </si>
  <si>
    <t>dynatrace_rum_provider_breakdown</t>
  </si>
  <si>
    <t>dynatrace_user_experience_score</t>
  </si>
  <si>
    <t>dynatrace_web_app_resource_cleanup</t>
  </si>
  <si>
    <t>dynatrace_update_windows</t>
  </si>
  <si>
    <t>dynatrace_process_group_detection_flags</t>
  </si>
  <si>
    <t>dynatrace_process_group_monitoring</t>
  </si>
  <si>
    <t>dynatrace_process_group_simple_detection</t>
  </si>
  <si>
    <t>dynatrace_log_metrics</t>
  </si>
  <si>
    <t>dynatrace_browser_monitor_performance</t>
  </si>
  <si>
    <t>dynatrace_http_monitor_performance</t>
  </si>
  <si>
    <t>dynatrace_http_monitor_cookies</t>
  </si>
  <si>
    <t>dynatrace_session_replay_web_privacy</t>
  </si>
  <si>
    <t>dynatrace_session_replay_resource_capture</t>
  </si>
  <si>
    <t>dynatrace_usability_analytics</t>
  </si>
  <si>
    <t>dynatrace_synthetic_availability</t>
  </si>
  <si>
    <t>dynatrace_browser_monitor_outage</t>
  </si>
  <si>
    <t>dynatrace_http_monitor_outage</t>
  </si>
  <si>
    <t>dynatrace_cloudapp_workloaddetection</t>
  </si>
  <si>
    <t>dynatrace_mainframe_transaction_monitoring</t>
  </si>
  <si>
    <t>dynatrace_monitored_technologies_apache</t>
  </si>
  <si>
    <t>dynatrace_monitored_technologies_dotnet</t>
  </si>
  <si>
    <t>dynatrace_monitored_technologies_go</t>
  </si>
  <si>
    <t>dynatrace_monitored_technologies_iis</t>
  </si>
  <si>
    <t>dynatrace_monitored_technologies_java</t>
  </si>
  <si>
    <t>dynatrace_monitored_technologies_nginx</t>
  </si>
  <si>
    <t>dynatrace_monitored_technologies_nodejs</t>
  </si>
  <si>
    <t>dynatrace_monitored_technologies_opentracing</t>
  </si>
  <si>
    <t>dynatrace_monitored_technologies_php</t>
  </si>
  <si>
    <t>dynatrace_monitored_technologies_varnish</t>
  </si>
  <si>
    <t>dynatrace_monitored_technologies_wsmb</t>
  </si>
  <si>
    <t>dynatrace_process_visibility</t>
  </si>
  <si>
    <t>dynatrace_rum_host_headers</t>
  </si>
  <si>
    <t>dynatrace_rum_ip_determination</t>
  </si>
  <si>
    <t>dynatrace_mobile_app_request_errors</t>
  </si>
  <si>
    <t>dynatrace_transaction_start_filters</t>
  </si>
  <si>
    <t>dynatrace_oneagent_features</t>
  </si>
  <si>
    <t>dynatrace_rum_overload_prevention</t>
  </si>
  <si>
    <t>dynatrace_rum_advanced_correlation</t>
  </si>
  <si>
    <t>dynatrace_web_app_beacon_origins</t>
  </si>
  <si>
    <t>dynatrace_web_app_resource_types</t>
  </si>
  <si>
    <t>dynatrace_generic_types</t>
  </si>
  <si>
    <t>dynatrace_generic_relationships</t>
  </si>
  <si>
    <t>dynatrace_slo_normalization</t>
  </si>
  <si>
    <t>dynatrace_data_privacy</t>
  </si>
  <si>
    <t>dynatrace_service_failure</t>
  </si>
  <si>
    <t>dynatrace_service_http_failure</t>
  </si>
  <si>
    <t>dynatrace_disk_options</t>
  </si>
  <si>
    <t>dynatrace_os_services</t>
  </si>
  <si>
    <t>dynatrace_extension_execution_controller</t>
  </si>
  <si>
    <t>dynatrace_nettracer</t>
  </si>
  <si>
    <t>dynatrace_aix_extension</t>
  </si>
  <si>
    <t>dynatrace_metric_metadata</t>
  </si>
  <si>
    <t>dynatrace_metric_query</t>
  </si>
  <si>
    <t>dynatrace_activegate_token</t>
  </si>
  <si>
    <t>dynatrace_audit_log</t>
  </si>
  <si>
    <t>dynatrace_k8s_cluster_anomalies</t>
  </si>
  <si>
    <t>dynatrace_k8s_namespace_anomalies</t>
  </si>
  <si>
    <t>dynatrace_k8s_node_anomalies</t>
  </si>
  <si>
    <t>dynatrace_k8s_workload_anomalies</t>
  </si>
  <si>
    <t>dynatrace_container_builtin_rule</t>
  </si>
  <si>
    <t>dynatrace_container_rule</t>
  </si>
  <si>
    <t>dynatrace_container_technology</t>
  </si>
  <si>
    <t>dynatrace_remote_environments</t>
  </si>
  <si>
    <t>dynatrace_web_app_custom_errors</t>
  </si>
  <si>
    <t>dynatrace_web_app_request_errors</t>
  </si>
  <si>
    <t>dynatrace_user_settings</t>
  </si>
  <si>
    <t>dynatrace_dashboards_general</t>
  </si>
  <si>
    <t>dynatrace_dashboards_presets</t>
  </si>
  <si>
    <t>dynatrace_log_processing</t>
  </si>
  <si>
    <t>dynatrace_log_events</t>
  </si>
  <si>
    <t>dynatrace_log_timestamp</t>
  </si>
  <si>
    <t>dynatrace_log_grail</t>
  </si>
  <si>
    <t>dynatrace_log_custom_attribute</t>
  </si>
  <si>
    <t>dynatrace_log_sensitive_data_masking</t>
  </si>
  <si>
    <t>dynatrace_log_storage</t>
  </si>
  <si>
    <t>dynatrace_log_buckets</t>
  </si>
  <si>
    <t>dynatrace_eula_settings</t>
  </si>
  <si>
    <t>dynatrace_api_detection</t>
  </si>
  <si>
    <t>dynatrace_service_external_web_request</t>
  </si>
  <si>
    <t>dynatrace_service_external_web_service</t>
  </si>
  <si>
    <t>dynatrace_service_full_web_request</t>
  </si>
  <si>
    <t>dynatrace_service_full_web_service</t>
  </si>
  <si>
    <t>dynatrace_dashboards_allowlist</t>
  </si>
  <si>
    <t>dynatrace_failure_detection_parameters</t>
  </si>
  <si>
    <t>dynatrace_failure_detection_rules</t>
  </si>
  <si>
    <t>dynatrace_log_oneagent</t>
  </si>
  <si>
    <t>dynatrace_issue_tracking</t>
  </si>
  <si>
    <t>dynatrace_geolocation</t>
  </si>
  <si>
    <t>dynatrace_user_session_metrics</t>
  </si>
  <si>
    <t>dynatrace_custom_units</t>
  </si>
  <si>
    <t>dynatrace_disk_analytics</t>
  </si>
  <si>
    <t>dynatrace_network_traffic</t>
  </si>
  <si>
    <t>dynatrace_token_settings</t>
  </si>
  <si>
    <t>dynatrace_extension_execution_remote</t>
  </si>
  <si>
    <t>dynatrace_k8s_pvc_anomalies</t>
  </si>
  <si>
    <t>dynatrace_user_action_metrics</t>
  </si>
  <si>
    <t>dynatrace_web_app_javascript_version</t>
  </si>
  <si>
    <t>dynatrace_web_app_javascript_updates</t>
  </si>
  <si>
    <t>dynatrace_opentelemetry_metrics</t>
  </si>
  <si>
    <t>dynatrace_activegate_updates</t>
  </si>
  <si>
    <t>dynatrace_oneagent_default_version</t>
  </si>
  <si>
    <t>dynatrace_oneagent_updates</t>
  </si>
  <si>
    <t>dynatrace_ownership_teams</t>
  </si>
  <si>
    <t>dynatrace_ownership_config</t>
  </si>
  <si>
    <t>dynatrace_log_custom_source</t>
  </si>
  <si>
    <t>dynatrace_application_detection_rule_v2</t>
  </si>
  <si>
    <t>dynatrace_kubernetes</t>
  </si>
  <si>
    <t>dynatrace_cloud_foundry</t>
  </si>
  <si>
    <t>dynatrace_disk_anomaly_rules</t>
  </si>
  <si>
    <t>dynatrace_aws_anomalies</t>
  </si>
  <si>
    <t>dynatrace_vmware_anomalies</t>
  </si>
  <si>
    <t>dynatrace_business_events_oneagent</t>
  </si>
  <si>
    <t>dynatrace_business_events_buckets</t>
  </si>
  <si>
    <t>dynatrace_business_events_metrics</t>
  </si>
  <si>
    <t>dynatrace_business_events_processing</t>
  </si>
  <si>
    <t>dynatrace_web_app_key_performance_custom</t>
  </si>
  <si>
    <t>dynatrace_web_app_key_performance_load</t>
  </si>
  <si>
    <t>dynatrace_web_app_key_performance_xhr</t>
  </si>
  <si>
    <t>dynatrace_autotag</t>
  </si>
  <si>
    <t>builtin:activegate-token</t>
  </si>
  <si>
    <t>builtin:alerting.connectivity-alerts</t>
  </si>
  <si>
    <t>builtin:anomaly-detection.databases</t>
  </si>
  <si>
    <t>0.0.16</t>
  </si>
  <si>
    <t>builtin:anomaly-detection.disk-rules</t>
  </si>
  <si>
    <t>1.0.2</t>
  </si>
  <si>
    <t>builtin:anomaly-detection.infrastructure-aws</t>
  </si>
  <si>
    <t>1.0.1</t>
  </si>
  <si>
    <t>builtin:anomaly-detection.infrastructure-disks</t>
  </si>
  <si>
    <t>builtin:anomaly-detection.infrastructure-disks.per-disk-override</t>
  </si>
  <si>
    <t>builtin:anomaly-detection.infrastructure-hosts</t>
  </si>
  <si>
    <t>1.2.8</t>
  </si>
  <si>
    <t>builtin:anomaly-detection.infrastructure-vmware</t>
  </si>
  <si>
    <t>builtin:anomaly-detection.kubernetes.cluster</t>
  </si>
  <si>
    <t>builtin:anomaly-detection.kubernetes.namespace</t>
  </si>
  <si>
    <t>builtin:anomaly-detection.kubernetes.node</t>
  </si>
  <si>
    <t>1.2.2</t>
  </si>
  <si>
    <t>builtin:anomaly-detection.kubernetes.pvc</t>
  </si>
  <si>
    <t>builtin:anomaly-detection.kubernetes.workload</t>
  </si>
  <si>
    <t>builtin:anomaly-detection.rum-custom</t>
  </si>
  <si>
    <t>builtin:anomaly-detection.rum-custom-crash-rate-increase</t>
  </si>
  <si>
    <t>builtin:anomaly-detection.rum-mobile</t>
  </si>
  <si>
    <t>builtin:anomaly-detection.rum-mobile-crash-rate-increase</t>
  </si>
  <si>
    <t>builtin:anomaly-detection.rum-web</t>
  </si>
  <si>
    <t>builtin:apis.detection-rules</t>
  </si>
  <si>
    <t>3.1.2</t>
  </si>
  <si>
    <t>builtin:audit-log</t>
  </si>
  <si>
    <t>builtin:bizevents.http.incoming</t>
  </si>
  <si>
    <t>builtin:bizevents-processing-buckets.rule</t>
  </si>
  <si>
    <t>1.0.3</t>
  </si>
  <si>
    <t>builtin:bizevents-processing-metrics.rule</t>
  </si>
  <si>
    <t>builtin:bizevents-processing-pipelines.rule</t>
  </si>
  <si>
    <t>1.0.6</t>
  </si>
  <si>
    <t>builtin:cloud.cloudfoundry</t>
  </si>
  <si>
    <t>1.0.4</t>
  </si>
  <si>
    <t>builtin:cloud.kubernetes</t>
  </si>
  <si>
    <t>builtin:container.built-in-monitoring-rule</t>
  </si>
  <si>
    <t>0.0.2</t>
  </si>
  <si>
    <t>builtin:container.monitoring-rule</t>
  </si>
  <si>
    <t>0.0.1</t>
  </si>
  <si>
    <t>builtin:container.technology</t>
  </si>
  <si>
    <t>1.0.5</t>
  </si>
  <si>
    <t>builtin:custom-metrics</t>
  </si>
  <si>
    <t>1.0.7</t>
  </si>
  <si>
    <t>builtin:custom-unit</t>
  </si>
  <si>
    <t>builtin:dashboards.general</t>
  </si>
  <si>
    <t>1.0.16</t>
  </si>
  <si>
    <t>builtin:dashboards.image.allowlist</t>
  </si>
  <si>
    <t>builtin:dashboards.presets</t>
  </si>
  <si>
    <t>0.9.13</t>
  </si>
  <si>
    <t>builtin:declarativegrouping</t>
  </si>
  <si>
    <t>1.0.20</t>
  </si>
  <si>
    <t>builtin:deployment.activegate.updates</t>
  </si>
  <si>
    <t>builtin:deployment.management.update-windows</t>
  </si>
  <si>
    <t>0.63.2</t>
  </si>
  <si>
    <t>builtin:deployment.oneagent.default-version</t>
  </si>
  <si>
    <t>builtin:deployment.oneagent.updates</t>
  </si>
  <si>
    <t>builtin:disk.analytics.extension</t>
  </si>
  <si>
    <t>0.0.8</t>
  </si>
  <si>
    <t>builtin:disk.options</t>
  </si>
  <si>
    <t>1.2.6</t>
  </si>
  <si>
    <t>builtin:eec.local</t>
  </si>
  <si>
    <t>0.0.3</t>
  </si>
  <si>
    <t>builtin:eec.remote</t>
  </si>
  <si>
    <t>0.1.1</t>
  </si>
  <si>
    <t>builtin:eula-settings</t>
  </si>
  <si>
    <t>builtin:exclude.network.traffic</t>
  </si>
  <si>
    <t>builtin:failure-detection.environment.parameters</t>
  </si>
  <si>
    <t>builtin:failure-detection.environment.rules</t>
  </si>
  <si>
    <t>builtin:failure-detection.service.general-parameters</t>
  </si>
  <si>
    <t>builtin:failure-detection.service.http-parameters</t>
  </si>
  <si>
    <t>builtin:geo-settings</t>
  </si>
  <si>
    <t>builtin:host.monitoring</t>
  </si>
  <si>
    <t>builtin:host.monitoring.aix-kernel-extension</t>
  </si>
  <si>
    <t>builtin:host.process-groups.monitoring-state</t>
  </si>
  <si>
    <t>builtin:issue-tracking.integration</t>
  </si>
  <si>
    <t>builtin:logmonitoring.custom-log-source-settings</t>
  </si>
  <si>
    <t>builtin:logmonitoring.log-agent-configuration</t>
  </si>
  <si>
    <t>1.1.12</t>
  </si>
  <si>
    <t>builtin:logmonitoring.log-buckets-rules</t>
  </si>
  <si>
    <t>builtin:logmonitoring.log-custom-attributes</t>
  </si>
  <si>
    <t>1.0.10</t>
  </si>
  <si>
    <t>builtin:logmonitoring.log-dpp-rules</t>
  </si>
  <si>
    <t>1.0.13</t>
  </si>
  <si>
    <t>builtin:logmonitoring.log-events</t>
  </si>
  <si>
    <t>3.2.3</t>
  </si>
  <si>
    <t>builtin:logmonitoring.logs-on-grail-activate</t>
  </si>
  <si>
    <t>builtin:logmonitoring.log-storage-settings</t>
  </si>
  <si>
    <t>builtin:logmonitoring.schemaless-log-metric</t>
  </si>
  <si>
    <t>8.0.47</t>
  </si>
  <si>
    <t>builtin:logmonitoring.sensitive-data-masking-settings</t>
  </si>
  <si>
    <t>builtin:logmonitoring.timestamp-configuration</t>
  </si>
  <si>
    <t>builtin:mainframe.txmonitoring</t>
  </si>
  <si>
    <t>1.6.2</t>
  </si>
  <si>
    <t>builtin:mainframe.txstartfilters</t>
  </si>
  <si>
    <t>builtin:metric.metadata</t>
  </si>
  <si>
    <t>builtin:metric.query</t>
  </si>
  <si>
    <t>4.0.2</t>
  </si>
  <si>
    <t>builtin:monitoredentities.generic.relation</t>
  </si>
  <si>
    <t>1.0.34</t>
  </si>
  <si>
    <t>builtin:monitoredentities.generic.type</t>
  </si>
  <si>
    <t>1.0.75</t>
  </si>
  <si>
    <t>builtin:monitored-technologies.apache</t>
  </si>
  <si>
    <t>builtin:monitored-technologies.dotnet</t>
  </si>
  <si>
    <t>builtin:monitored-technologies.go</t>
  </si>
  <si>
    <t>builtin:monitored-technologies.iis</t>
  </si>
  <si>
    <t>builtin:monitored-technologies.java</t>
  </si>
  <si>
    <t>builtin:monitored-technologies.nginx</t>
  </si>
  <si>
    <t>builtin:monitored-technologies.nodejs</t>
  </si>
  <si>
    <t>builtin:monitored-technologies.open-tracing-native</t>
  </si>
  <si>
    <t>builtin:monitored-technologies.php</t>
  </si>
  <si>
    <t>builtin:monitored-technologies.varnish</t>
  </si>
  <si>
    <t>builtin:monitored-technologies.wsmb</t>
  </si>
  <si>
    <t>builtin:monitoring.slo</t>
  </si>
  <si>
    <t>6.0.11</t>
  </si>
  <si>
    <t>Resource Name</t>
  </si>
  <si>
    <t>ResourceType Name</t>
  </si>
  <si>
    <t>Schema ID</t>
  </si>
  <si>
    <t>builtin:monitoring.slo.normalization</t>
  </si>
  <si>
    <t>builtin:nettracer.traffic</t>
  </si>
  <si>
    <t>builtin:oneagent.features</t>
  </si>
  <si>
    <t>1.5.7</t>
  </si>
  <si>
    <t>builtin:opentelemetry-metrics</t>
  </si>
  <si>
    <t>builtin:os-services-monitoring</t>
  </si>
  <si>
    <t>1.1.4</t>
  </si>
  <si>
    <t>builtin:ownership.config</t>
  </si>
  <si>
    <t>builtin:ownership.teams</t>
  </si>
  <si>
    <t>builtin:preferences.privacy</t>
  </si>
  <si>
    <t>3.0.4</t>
  </si>
  <si>
    <t>builtin:process.process-monitoring</t>
  </si>
  <si>
    <t>builtin:process.custom-process-monitoring-rule</t>
  </si>
  <si>
    <t>0.4.4</t>
  </si>
  <si>
    <t>builtin:processavailability</t>
  </si>
  <si>
    <t>builtin:process-group.advanced-detection-rule</t>
  </si>
  <si>
    <t>0.0.5</t>
  </si>
  <si>
    <t>builtin:process-group.cloud-application-workload-detection</t>
  </si>
  <si>
    <t>builtin:process-group.detection-flags</t>
  </si>
  <si>
    <t>builtin:process-group.monitoring.state</t>
  </si>
  <si>
    <t>builtin:process-group.simple-detection-rule</t>
  </si>
  <si>
    <t>builtin:process-visibility</t>
  </si>
  <si>
    <t>builtin:remote.environment</t>
  </si>
  <si>
    <t>builtin:rum.custom.enablement</t>
  </si>
  <si>
    <t>1.1.6</t>
  </si>
  <si>
    <t>builtin:rum.host-headers</t>
  </si>
  <si>
    <t>builtin:rum.ip-determination</t>
  </si>
  <si>
    <t>builtin:rum.ip-mappings</t>
  </si>
  <si>
    <t>1.1.1</t>
  </si>
  <si>
    <t>builtin:rum.mobile.enablement</t>
  </si>
  <si>
    <t>builtin:rum.mobile.request-errors</t>
  </si>
  <si>
    <t>builtin:rum.overload-prevention</t>
  </si>
  <si>
    <t>builtin:rum.processgroup</t>
  </si>
  <si>
    <t>2.0.1</t>
  </si>
  <si>
    <t>builtin:rum.provider-breakdown</t>
  </si>
  <si>
    <t>builtin:rum.resource-timing-origins</t>
  </si>
  <si>
    <t>0.0.4</t>
  </si>
  <si>
    <t>builtin:rum.user-experience-score</t>
  </si>
  <si>
    <t>builtin:rum.web.app-detection</t>
  </si>
  <si>
    <t>builtin:rum.web.beacon-domain-origins</t>
  </si>
  <si>
    <t>builtin:rum.web.custom-errors</t>
  </si>
  <si>
    <t>builtin:rum.web.custom-rum-javascript-version</t>
  </si>
  <si>
    <t>builtin:rum.web.enablement</t>
  </si>
  <si>
    <t>builtin:rum.web.key-performance-metric-custom-actions</t>
  </si>
  <si>
    <t>1.0.8</t>
  </si>
  <si>
    <t>builtin:rum.web.key-performance-metric-load-actions</t>
  </si>
  <si>
    <t>builtin:rum.web.key-performance-metric-xhr-actions</t>
  </si>
  <si>
    <t>builtin:rum.web.request-errors</t>
  </si>
  <si>
    <t>builtin:rum.web.resource-cleanup-rules</t>
  </si>
  <si>
    <t>builtin:rum.web.resource-types</t>
  </si>
  <si>
    <t>WebAppResourceTypes</t>
  </si>
  <si>
    <t>builtin:rum.web.rum-javascript-updates</t>
  </si>
  <si>
    <t>builtin:service-detection.external-web-request</t>
  </si>
  <si>
    <t>2.1.0</t>
  </si>
  <si>
    <t>builtin:service-detection.external-web-service</t>
  </si>
  <si>
    <t>2.1.6</t>
  </si>
  <si>
    <t>builtin:service-detection.full-web-request</t>
  </si>
  <si>
    <t>2.1.10</t>
  </si>
  <si>
    <t>builtin:service-detection.full-web-service</t>
  </si>
  <si>
    <t>builtin:sessionreplay.web.privacy-preferences</t>
  </si>
  <si>
    <t>builtin:sessionreplay.web.resource-capturing</t>
  </si>
  <si>
    <t>builtin:settings.mutedrequests</t>
  </si>
  <si>
    <t>builtin:synthetic.synthetic-availability-settings</t>
  </si>
  <si>
    <t>builtin:synthetic.browser.outage-handling</t>
  </si>
  <si>
    <t>1.3.2</t>
  </si>
  <si>
    <t>builtin:synthetic.browser.performance-thresholds</t>
  </si>
  <si>
    <t>builtin:synthetic.http.cookies</t>
  </si>
  <si>
    <t>builtin:synthetic.http.outage-handling</t>
  </si>
  <si>
    <t>builtin:synthetic.http.performance-thresholds</t>
  </si>
  <si>
    <t>builtin:tags.auto-tagging</t>
  </si>
  <si>
    <t>1.0.11</t>
  </si>
  <si>
    <t>builtin:tokens.token-settings</t>
  </si>
  <si>
    <t>2.0.2</t>
  </si>
  <si>
    <t>builtin:usability-analytics</t>
  </si>
  <si>
    <t>1.0.0</t>
  </si>
  <si>
    <t>builtin:user-action-custom-metrics</t>
  </si>
  <si>
    <t>builtin:user-settings</t>
  </si>
  <si>
    <t>1.1.3</t>
  </si>
  <si>
    <t>v1:config:alerting</t>
  </si>
  <si>
    <t>Implemented Settings 2.0 Version</t>
  </si>
  <si>
    <t>v1:config:anomaly-detection:applications</t>
  </si>
  <si>
    <t>v1:config:anomaly-detection:database-services</t>
  </si>
  <si>
    <t>v1:config:anomaly-detection:disk-events</t>
  </si>
  <si>
    <t>v1:config:anomaly-detection:hosts</t>
  </si>
  <si>
    <t>v1:config:anomaly-detection:metric-events</t>
  </si>
  <si>
    <t>v1:config:anomaly-detection:process-groups</t>
  </si>
  <si>
    <t>v1:config:anomaly-detection:services</t>
  </si>
  <si>
    <t>v1:config:applications:mobile</t>
  </si>
  <si>
    <t>v1:config:applications:web</t>
  </si>
  <si>
    <t>v1:config:applications:web:data-privacy</t>
  </si>
  <si>
    <t>v1:config:applications:detection</t>
  </si>
  <si>
    <t>v1:config:applications:web:errors</t>
  </si>
  <si>
    <t>v1:config:auto-tags</t>
  </si>
  <si>
    <t>v1:config:credentials:aws</t>
  </si>
  <si>
    <t>v1:config:credentials:azure</t>
  </si>
  <si>
    <t>v1:config:credentials:cloudfoundry</t>
  </si>
  <si>
    <t>v1:config:credentials:kubernetes</t>
  </si>
  <si>
    <t>v1:config:credentials</t>
  </si>
  <si>
    <t>v1:config:custom-services</t>
  </si>
  <si>
    <t>v1:config:dashboards</t>
  </si>
  <si>
    <t>v1:config:dashboards:sharing</t>
  </si>
  <si>
    <t>v1:config:json-dashboards</t>
  </si>
  <si>
    <t>v1:config:maintenance-windows</t>
  </si>
  <si>
    <t>v1:config:management-zones</t>
  </si>
  <si>
    <t>calculated-metrics-service</t>
  </si>
  <si>
    <t>v1:config:conditional-naming:hosts</t>
  </si>
  <si>
    <t>v1:config:conditional-naming:process-groups</t>
  </si>
  <si>
    <t>v1:config:conditional-naming:services</t>
  </si>
  <si>
    <t>v2:environment:network-zones</t>
  </si>
  <si>
    <t>v1:config:notifications</t>
  </si>
  <si>
    <t>v1:config:request-attributes</t>
  </si>
  <si>
    <t>v1:config:service:request-naming</t>
  </si>
  <si>
    <t>v1:config:service:request-naming:order</t>
  </si>
  <si>
    <t>v1:synthetic:locations</t>
  </si>
  <si>
    <t>v1:synthetic:monitors:browser</t>
  </si>
  <si>
    <t>v1:synthetic:monitors:http</t>
  </si>
  <si>
    <t>builtin:alerting.profile</t>
  </si>
  <si>
    <t>8.0.1</t>
  </si>
  <si>
    <t>builtin:anomaly-detection.frequent-issues</t>
  </si>
  <si>
    <t>builtin:anomaly-detection.metric-events</t>
  </si>
  <si>
    <t>builtin:anomaly-detection.services</t>
  </si>
  <si>
    <t>builtin:availability.process-group-alerting</t>
  </si>
  <si>
    <t>builtin:accounting.ddu.limit</t>
  </si>
  <si>
    <t>3.4.1</t>
  </si>
  <si>
    <t>Notes</t>
  </si>
  <si>
    <t>Need to move to /builtin</t>
  </si>
  <si>
    <t>builtin:mainframe.mqfilters</t>
  </si>
  <si>
    <t>builtin:ibmmq.ims-bridges</t>
  </si>
  <si>
    <t>builtin:ibmmq.queue-managers</t>
  </si>
  <si>
    <t>builtin:ibmmq.queue-sharing-group</t>
  </si>
  <si>
    <t>builtin:settings.subscriptions.service</t>
  </si>
  <si>
    <t>0.1.7</t>
  </si>
  <si>
    <t>builtin:alerting.maintenance-window</t>
  </si>
  <si>
    <t>2.14.1</t>
  </si>
  <si>
    <t>builtin:management-zones</t>
  </si>
  <si>
    <t>builtin:networkzones</t>
  </si>
  <si>
    <t>builtin:problem.notifications</t>
  </si>
  <si>
    <t>1.4.1</t>
  </si>
  <si>
    <t>builtin:span-attribute</t>
  </si>
  <si>
    <t>0.0.28</t>
  </si>
  <si>
    <t>builtin:span-capturing</t>
  </si>
  <si>
    <t>0.1.15</t>
  </si>
  <si>
    <t>builtin:span-context-propagation</t>
  </si>
  <si>
    <t>0.1.18</t>
  </si>
  <si>
    <t>builtin:span-entry-points</t>
  </si>
  <si>
    <t>0.1.16</t>
  </si>
  <si>
    <t>builtin:resource-attribute</t>
  </si>
  <si>
    <t>1.0.24</t>
  </si>
  <si>
    <t>v2:environment:slo</t>
  </si>
  <si>
    <t>accounts:iam:users</t>
  </si>
  <si>
    <t>accounts:iam:policies</t>
  </si>
  <si>
    <t>accounts:iam:bindings</t>
  </si>
  <si>
    <t>accounts:iam:groups</t>
  </si>
  <si>
    <t>accounts:iam:permissions</t>
  </si>
  <si>
    <t>API</t>
  </si>
  <si>
    <t>Settings 2.0</t>
  </si>
  <si>
    <t>Config</t>
  </si>
  <si>
    <t>Account Management</t>
  </si>
  <si>
    <t>Environment v2</t>
  </si>
  <si>
    <t>N/A</t>
  </si>
  <si>
    <t>X</t>
  </si>
  <si>
    <t>Request Attribute</t>
  </si>
  <si>
    <t>Management Zone</t>
  </si>
  <si>
    <t>Calculated Service Metric</t>
  </si>
  <si>
    <t>Web Application</t>
  </si>
  <si>
    <t>Mobile Application</t>
  </si>
  <si>
    <t>Browser Monitor</t>
  </si>
  <si>
    <t>HTTP Monitor</t>
  </si>
  <si>
    <t>Synthetic Location</t>
  </si>
  <si>
    <t>Failure Detection Parameters</t>
  </si>
  <si>
    <t>Update Windows</t>
  </si>
  <si>
    <t>Request Naming</t>
  </si>
  <si>
    <t>AWS Credentials</t>
  </si>
  <si>
    <t># of dependencies</t>
  </si>
  <si>
    <t>PHP</t>
  </si>
  <si>
    <t>builtin:synthetic.http.assigned-applications</t>
  </si>
  <si>
    <t>Assign synthetic monitor to applications</t>
  </si>
  <si>
    <t>Custom errors</t>
  </si>
  <si>
    <t>Kubernetes workload anomaly detection</t>
  </si>
  <si>
    <t>1.7</t>
  </si>
  <si>
    <t>Network security</t>
  </si>
  <si>
    <t>1.1</t>
  </si>
  <si>
    <t>RUM JavaScript updates</t>
  </si>
  <si>
    <t>Service detection rules for Full Web Requests</t>
  </si>
  <si>
    <t>User action custom metrics</t>
  </si>
  <si>
    <t>1</t>
  </si>
  <si>
    <t>Simple detection rules</t>
  </si>
  <si>
    <t>Anomaly detection for mobile applications</t>
  </si>
  <si>
    <t>Connectivity alerts</t>
  </si>
  <si>
    <t>Crash rate increase settings for custom applications</t>
  </si>
  <si>
    <t>Service detection rules for External Web Services</t>
  </si>
  <si>
    <t>Enablement and cost control</t>
  </si>
  <si>
    <t>2</t>
  </si>
  <si>
    <t>Metric metadata</t>
  </si>
  <si>
    <t>4.25</t>
  </si>
  <si>
    <t>User Settings</t>
  </si>
  <si>
    <t>Failure detection parameters</t>
  </si>
  <si>
    <t>Metric events</t>
  </si>
  <si>
    <t>Kubernetes node anomaly detection</t>
  </si>
  <si>
    <t>Identify host names</t>
  </si>
  <si>
    <t>Request errors</t>
  </si>
  <si>
    <t>Business event bucket assignment</t>
  </si>
  <si>
    <t>builtin:virtualization.vmware</t>
  </si>
  <si>
    <t>VMware</t>
  </si>
  <si>
    <t>builtin:rum.custom.name</t>
  </si>
  <si>
    <t>Application name and type</t>
  </si>
  <si>
    <t>1.1.7</t>
  </si>
  <si>
    <t>builtin:synthetic.browser.name</t>
  </si>
  <si>
    <t>Monitor name</t>
  </si>
  <si>
    <t>Anomaly detection for databases</t>
  </si>
  <si>
    <t>Kubernetes persistent volume claim anomaly detection</t>
  </si>
  <si>
    <t>Automatically applied tags</t>
  </si>
  <si>
    <t>ActiveGate updates</t>
  </si>
  <si>
    <t>Outage handling</t>
  </si>
  <si>
    <t>Built-in container monitoring rules</t>
  </si>
  <si>
    <t>Business event processing</t>
  </si>
  <si>
    <t>Monitoring</t>
  </si>
  <si>
    <t>1.2</t>
  </si>
  <si>
    <t>Access tokens</t>
  </si>
  <si>
    <t>Log events</t>
  </si>
  <si>
    <t>Log custom attributes</t>
  </si>
  <si>
    <t>Span entry points</t>
  </si>
  <si>
    <t>Generic relationships</t>
  </si>
  <si>
    <t>Metric query</t>
  </si>
  <si>
    <t>builtin:rum.mobile.key-performance-metrics</t>
  </si>
  <si>
    <t>Apdex configuration</t>
  </si>
  <si>
    <t>Real User Monitoring for process group</t>
  </si>
  <si>
    <t>Network zones settings</t>
  </si>
  <si>
    <t>OneAgent updates</t>
  </si>
  <si>
    <t>Transaction start filters</t>
  </si>
  <si>
    <t>Preset settings</t>
  </si>
  <si>
    <t>Service detection rules for Full Web Services</t>
  </si>
  <si>
    <t>User experience score</t>
  </si>
  <si>
    <t>Management zones settings</t>
  </si>
  <si>
    <t>Allowed URL pattern rules</t>
  </si>
  <si>
    <t>Nginx</t>
  </si>
  <si>
    <t>User session custom metrics</t>
  </si>
  <si>
    <t>Business event metric extraction</t>
  </si>
  <si>
    <t>Problem notifications</t>
  </si>
  <si>
    <t>1.4.8</t>
  </si>
  <si>
    <t>API detection rules</t>
  </si>
  <si>
    <t>Exclude network traffic</t>
  </si>
  <si>
    <t>Maintenance windows</t>
  </si>
  <si>
    <t>2.14.2</t>
  </si>
  <si>
    <t>OS services monitoring</t>
  </si>
  <si>
    <t>Container monitoring rules</t>
  </si>
  <si>
    <t>Map IP addresses to locations</t>
  </si>
  <si>
    <t>Container monitoring</t>
  </si>
  <si>
    <t>Span attributes</t>
  </si>
  <si>
    <t>0.0.30</t>
  </si>
  <si>
    <t>Extension Execution Controller</t>
  </si>
  <si>
    <t>Resource attributes</t>
  </si>
  <si>
    <t>1.0.25</t>
  </si>
  <si>
    <t>Maintenance windows for OneAgent updates</t>
  </si>
  <si>
    <t>General settings</t>
  </si>
  <si>
    <t>Service-level objective definitions</t>
  </si>
  <si>
    <t>Terms of use</t>
  </si>
  <si>
    <t>builtin:synthetic.http.name</t>
  </si>
  <si>
    <t>Process instance snapshots</t>
  </si>
  <si>
    <t>Anomaly detection for services</t>
  </si>
  <si>
    <t>0.0.17</t>
  </si>
  <si>
    <t>IIS</t>
  </si>
  <si>
    <t>Kubernetes namespace anomaly detection</t>
  </si>
  <si>
    <t>Node.js</t>
  </si>
  <si>
    <t>Log buckets</t>
  </si>
  <si>
    <t>builtin:rum.mobile.name</t>
  </si>
  <si>
    <t>Application name</t>
  </si>
  <si>
    <t>builtin:rum.mobile.beacon-endpoint</t>
  </si>
  <si>
    <t>Beacon endpoint settings</t>
  </si>
  <si>
    <t>Envoy</t>
  </si>
  <si>
    <t>OneAgent features</t>
  </si>
  <si>
    <t>builtin:rum.web.ipaddress-exclusion</t>
  </si>
  <si>
    <t>Exclude IP addresses from monitoring</t>
  </si>
  <si>
    <t>6</t>
  </si>
  <si>
    <t>builtin:rum.web.name</t>
  </si>
  <si>
    <t>Resource URL cleanup rules</t>
  </si>
  <si>
    <t>OneAgent default version</t>
  </si>
  <si>
    <t>builtin:rum.mobile.privacy</t>
  </si>
  <si>
    <t>Privacy settings</t>
  </si>
  <si>
    <t>Built-in detection rules</t>
  </si>
  <si>
    <t>Sensitive data masking</t>
  </si>
  <si>
    <t>IBM MQ queue sharing groups</t>
  </si>
  <si>
    <t>0.0.6</t>
  </si>
  <si>
    <t>Process group monitoring</t>
  </si>
  <si>
    <t>Span capturing</t>
  </si>
  <si>
    <t>Generic types</t>
  </si>
  <si>
    <t>1.0.76</t>
  </si>
  <si>
    <t>Synthetic availability</t>
  </si>
  <si>
    <t>0.2</t>
  </si>
  <si>
    <t>Advanced detection rules</t>
  </si>
  <si>
    <t>Provider breakdown</t>
  </si>
  <si>
    <t>Log metrics</t>
  </si>
  <si>
    <t>Java</t>
  </si>
  <si>
    <t>builtin:rum.web.xhr-exclusion</t>
  </si>
  <si>
    <t>Exclude XHR requests from monitoring</t>
  </si>
  <si>
    <t>Process availability</t>
  </si>
  <si>
    <t>0.4</t>
  </si>
  <si>
    <t>builtin:process.built-in-process-monitoring-rule</t>
  </si>
  <si>
    <t>Built-in process monitoring rules</t>
  </si>
  <si>
    <t>0.4.1</t>
  </si>
  <si>
    <t>.NET</t>
  </si>
  <si>
    <t>Frequent issue detection</t>
  </si>
  <si>
    <t>builtin:synthetic.http.scheduling</t>
  </si>
  <si>
    <t>Frequency and locations</t>
  </si>
  <si>
    <t>1.4.2</t>
  </si>
  <si>
    <t>Processing</t>
  </si>
  <si>
    <t>1.0.15</t>
  </si>
  <si>
    <t>Key requests</t>
  </si>
  <si>
    <t>Resource capture for Session Replay</t>
  </si>
  <si>
    <t>Custom RUM JavaScript version</t>
  </si>
  <si>
    <t>Anomaly detection for infrastructure: Disk</t>
  </si>
  <si>
    <t>3</t>
  </si>
  <si>
    <t>Kubernetes cluster anomaly detection</t>
  </si>
  <si>
    <t>1.3</t>
  </si>
  <si>
    <t>Performance thresholds</t>
  </si>
  <si>
    <t>1.6</t>
  </si>
  <si>
    <t>builtin:span-event-attribute</t>
  </si>
  <si>
    <t>Span events</t>
  </si>
  <si>
    <t>1.0.17</t>
  </si>
  <si>
    <t>Configure ownership</t>
  </si>
  <si>
    <t>IBM MQ queue managers</t>
  </si>
  <si>
    <t>builtin:synthetic.browser.kpms</t>
  </si>
  <si>
    <t>Key performance metrics</t>
  </si>
  <si>
    <t>HTTP failure detection parameters</t>
  </si>
  <si>
    <t>Failure detection rules</t>
  </si>
  <si>
    <t>IBM MQ IMS bridges</t>
  </si>
  <si>
    <t>General failure detection parameters</t>
  </si>
  <si>
    <t>builtin:dt-javascript-runtime.allowed-outbound-connections</t>
  </si>
  <si>
    <t>Limit outbound connections</t>
  </si>
  <si>
    <t>Usability analytics</t>
  </si>
  <si>
    <t>builtin:synthetic.browser.scheduling</t>
  </si>
  <si>
    <t>3.4.2</t>
  </si>
  <si>
    <t>RUM overload prevention</t>
  </si>
  <si>
    <t>Transaction monitoring</t>
  </si>
  <si>
    <t>Disk Analytics Extension</t>
  </si>
  <si>
    <t>Go</t>
  </si>
  <si>
    <t>Service detection rules for External Web Requests</t>
  </si>
  <si>
    <t>IBM MQ filters</t>
  </si>
  <si>
    <t>Anomaly detection for custom applications</t>
  </si>
  <si>
    <t>Varnish Cache</t>
  </si>
  <si>
    <t>NetTracer traffic</t>
  </si>
  <si>
    <t>Crash rate increase settings for mobile applications</t>
  </si>
  <si>
    <t>Cloud Foundry</t>
  </si>
  <si>
    <t>Custom log source configuration</t>
  </si>
  <si>
    <t>Anomaly detection for infrastructure</t>
  </si>
  <si>
    <t>Issue-tracking for releases</t>
  </si>
  <si>
    <t>5.5</t>
  </si>
  <si>
    <t>Geolocation settings</t>
  </si>
  <si>
    <t>Timestamp configuration</t>
  </si>
  <si>
    <t>Anomaly detection for infrastructure: Host</t>
  </si>
  <si>
    <t>Beacon origins for CORS</t>
  </si>
  <si>
    <t>Custom units</t>
  </si>
  <si>
    <t>0.3</t>
  </si>
  <si>
    <t>End users' data privacy</t>
  </si>
  <si>
    <t>AIX kernel extension</t>
  </si>
  <si>
    <t>Anomaly detection for VMware</t>
  </si>
  <si>
    <t>Advanced correlation</t>
  </si>
  <si>
    <t>Declarative process grouping</t>
  </si>
  <si>
    <t>Span context propagation</t>
  </si>
  <si>
    <t>Capture business events with OneAgent</t>
  </si>
  <si>
    <t>IP determination</t>
  </si>
  <si>
    <t>Log audit events</t>
  </si>
  <si>
    <t>Ownership teams</t>
  </si>
  <si>
    <t>Cloud application and workload detection</t>
  </si>
  <si>
    <t>1.4</t>
  </si>
  <si>
    <t>IBM Integration Bus | IBM App Connect Enterprise</t>
  </si>
  <si>
    <t>builtin:synthetic.browser.assigned-applications</t>
  </si>
  <si>
    <t>Assign synthetic monitor to web applications</t>
  </si>
  <si>
    <t>Session replay data privacy</t>
  </si>
  <si>
    <t>Disk anomaly detection rules</t>
  </si>
  <si>
    <t>Process group availability monitoring</t>
  </si>
  <si>
    <t>OneAgent</t>
  </si>
  <si>
    <t>OpenTelemetry metrics</t>
  </si>
  <si>
    <t>Cookies</t>
  </si>
  <si>
    <t>Anomaly detection for applications</t>
  </si>
  <si>
    <t>builtin:elasticsearch.user-session-export-settings-v2</t>
  </si>
  <si>
    <t>User session exports</t>
  </si>
  <si>
    <t>0.0.15</t>
  </si>
  <si>
    <t>builtin:user-appfw-preferences</t>
  </si>
  <si>
    <t>App Framework user Preferences</t>
  </si>
  <si>
    <t>Davis data units pools</t>
  </si>
  <si>
    <t>Resource types</t>
  </si>
  <si>
    <t>Apache HTTP Server</t>
  </si>
  <si>
    <t>Monitoring settings</t>
  </si>
  <si>
    <t>2.5</t>
  </si>
  <si>
    <t>Service-level objective setup</t>
  </si>
  <si>
    <t>0.6</t>
  </si>
  <si>
    <t>builtin:rum.web.browser-exclusion</t>
  </si>
  <si>
    <t>Exclude/Include browsers from monitoring</t>
  </si>
  <si>
    <t>Problem alerting profiles</t>
  </si>
  <si>
    <t>8.2</t>
  </si>
  <si>
    <t>Log storage configuration</t>
  </si>
  <si>
    <t>Anomaly detection for AWS</t>
  </si>
  <si>
    <t>Custom process monitoring rules</t>
  </si>
  <si>
    <t>Remote environments</t>
  </si>
  <si>
    <t>Activate Grail for logs and events</t>
  </si>
  <si>
    <t>Disk options</t>
  </si>
  <si>
    <t>Muted requests</t>
  </si>
  <si>
    <t>Application detection</t>
  </si>
  <si>
    <t>Display Name</t>
  </si>
  <si>
    <t>Latest Schema Version</t>
  </si>
  <si>
    <t>Latest Settings 2.0 Version (5/16)</t>
  </si>
  <si>
    <t>settings.read, settings.write</t>
  </si>
  <si>
    <t>networkZones.read, networkZones.write</t>
  </si>
  <si>
    <t>slo.read, slo.write</t>
  </si>
  <si>
    <t>account-idm-read, account-idm-write</t>
  </si>
  <si>
    <t>iam-policies-management</t>
  </si>
  <si>
    <t>ReadConfig, WriteConfig</t>
  </si>
  <si>
    <t>ReadConfig, DataPrivacy</t>
  </si>
  <si>
    <t>Environment v1</t>
  </si>
  <si>
    <t>ExternalSyntheticIntegration</t>
  </si>
  <si>
    <t>credentialVault.read, credentialVault.write</t>
  </si>
  <si>
    <t>ReadConfig, CaptureRequestData</t>
  </si>
  <si>
    <t>Status</t>
  </si>
  <si>
    <t>Active</t>
  </si>
  <si>
    <t>API Token Scope (Excludes dependencies)</t>
  </si>
  <si>
    <t>Last Updated: 2023.05.18</t>
  </si>
  <si>
    <t>Migration: Iterative  Order</t>
  </si>
  <si>
    <t>Complete</t>
  </si>
  <si>
    <t>Date Completed</t>
  </si>
  <si>
    <t>Complete (bool)</t>
  </si>
  <si>
    <t>API Token Scope (Exc. dependencies)</t>
  </si>
  <si>
    <t>Deprecated (API)</t>
  </si>
  <si>
    <t>Deprecated (TF)</t>
  </si>
  <si>
    <t>Need to move to /builtin. Function: Enable/Disable Network Zones only</t>
  </si>
  <si>
    <t>Replaces dynatrace_application_data_privacy</t>
  </si>
  <si>
    <t>Replaced by dynatrace_data_privacy and dynatrace_session_replay_web_privacy</t>
  </si>
  <si>
    <t>Replaced by dynatrace_alerting</t>
  </si>
  <si>
    <t>Need to move to /builtin. Replaces dynatrace_alerting_profile</t>
  </si>
  <si>
    <t>Replaced by dynatrace_autotag_v2</t>
  </si>
  <si>
    <t>Replaces dynatrace_autotag</t>
  </si>
  <si>
    <t>Replaced by dynatrace_cloud_foundry</t>
  </si>
  <si>
    <t>Replaces dynatrace_cloudfoundry_credentials</t>
  </si>
  <si>
    <t>Replaced by dynatrace_metric_events</t>
  </si>
  <si>
    <t>Moved to /builtin. Replaces dynatrace_custom_anomalies</t>
  </si>
  <si>
    <t>Replaced by dynatrace_json_dashboard</t>
  </si>
  <si>
    <t>Replaced by dynatrace_database_anomalies_v2</t>
  </si>
  <si>
    <t>Replaces dynatrace_database_anomalies</t>
  </si>
  <si>
    <t>Replaced by dynatrace_disk_anomaly_rules</t>
  </si>
  <si>
    <t>Replaces dynatrace_disk_anomalies</t>
  </si>
  <si>
    <t>Replaced by dynatrace_host_anomalies_v2</t>
  </si>
  <si>
    <t>Replaces dynatrace_host_anomalies</t>
  </si>
  <si>
    <t>Replaced by dynatrace_kubernetes</t>
  </si>
  <si>
    <t>Replaces dynatrace_k8s_credentials</t>
  </si>
  <si>
    <t>Need to move to /builtin. Replaces dynatrace_management_zone</t>
  </si>
  <si>
    <t>Replaced by dynatrace_management_zone_v2</t>
  </si>
  <si>
    <t>Need to move to /builtin. Replaces dynatrace_maintenance_window</t>
  </si>
  <si>
    <t>Replaced by dynatrace_maintenance</t>
  </si>
  <si>
    <t>Replaced by dynatrace_&lt;type&gt;_notification</t>
  </si>
  <si>
    <t>Need to move to /builtin. Replaces dynatrace_service_anomalies</t>
  </si>
  <si>
    <t>Replaced by dynatrace_service_anomalies_v2</t>
  </si>
  <si>
    <t>Replaced by dynatrace_slo_v2</t>
  </si>
  <si>
    <t>Need to move to /builtin. Replaces dynatrace_notification+A85</t>
  </si>
  <si>
    <t>Need to move to /builtin. Replaces dynatrace_notification</t>
  </si>
  <si>
    <t>Replaces dynatrace_application_anomalies</t>
  </si>
  <si>
    <t>Replaced by dynatrace_web_app_anomalies</t>
  </si>
  <si>
    <t>Cannot soft deprecate until JS errors introduced. HTTP/Custom errors covered with dynatrace_xxx_app_request_errors and dynatrace_xxx_app_custom_errors</t>
  </si>
  <si>
    <t>Not Ready</t>
  </si>
  <si>
    <t>Cannot soft deprecate until ordering is handled in dynatrace_application_detection_rule_v2</t>
  </si>
  <si>
    <t>Not ready due to not being able to handle ordering, use dynatrace_application_detection_rule</t>
  </si>
  <si>
    <t>Not ready due to JS errors missing, use dynatrace_application_error_rules</t>
  </si>
  <si>
    <t>Schema removed</t>
  </si>
  <si>
    <t>Application scope overlaps with dynatrace_web_application, but this resource provides an environment scope that isn't available elsewhere - setting to Active.</t>
  </si>
  <si>
    <t>Application scope overlaps with dynatrace_mobile_application, but this resource provides an environment scope that isn't available elsewhere - setting to Active.</t>
  </si>
  <si>
    <t>Fields don't exist in dynatrace_mobile_application - setting to Active</t>
  </si>
  <si>
    <t>No overlap with dynatrace_browser_monitor - setting to Active</t>
  </si>
  <si>
    <t>Synthetic test scope overlaps with dynatrace_browser_monitor, but this resource provides an environment scope that isn't available elsewhere - setting to Active</t>
  </si>
  <si>
    <t>HTTP check scope overlaps with dynatrace_http_monitor, but this resource provides an environment scope that isn't available elsewhere - setting to Active</t>
  </si>
  <si>
    <t>Active*</t>
  </si>
  <si>
    <t>Config utilizes account management API</t>
  </si>
  <si>
    <t>Child resource - automatically retrieved when calling dynatrace_json_dashboard</t>
  </si>
  <si>
    <t>Replaces dynatrace_dashboard. Parent resource - automatically retrieves dynatrace_dashboard_sharing</t>
  </si>
  <si>
    <t>Requires personal token</t>
  </si>
  <si>
    <t>Replaced by dynatrace_pg_alerting</t>
  </si>
  <si>
    <t>Need to move to /builtin. Replaces dynatrace_pg_anomalies</t>
  </si>
  <si>
    <t>Replaces dynatrace_slo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</si>
</sst>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[$-409]m/d/yy\ h:mm\ AM/PM;@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9E1F2"/>
        <bgColor rgb="FFD9E1F2"/>
      </patternFill>
    </fill>
  </fills>
  <borders count="3">
    <border>
      <left/>
      <right/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textRotation="9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textRotation="90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center" textRotation="90"/>
    </xf>
    <xf numFmtId="0" fontId="0" fillId="3" borderId="0" xfId="0" applyFill="1" applyAlignment="1">
      <alignment horizontal="center" textRotation="90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5" fontId="0" fillId="0" borderId="0" xfId="0" applyNumberFormat="1"/>
    <xf numFmtId="0" fontId="1" fillId="4" borderId="2" xfId="0" applyFont="1" applyFill="1" applyBorder="1" applyAlignment="1">
      <alignment horizontal="left" vertical="center"/>
    </xf>
  </cellXfs>
  <cellStyles count="1">
    <cellStyle name="Normal" xfId="0" builtinId="0"/>
  </cellStyles>
  <dxfs count="5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1" tint="0.499984740745262"/>
        </patternFill>
      </fill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409]m/d/yy\ h:mm\ AM/PM;@"/>
      <alignment horizontal="center" vertical="bottom" textRotation="0" wrapText="0" indent="0" justifyLastLine="0" shrinkToFit="0" readingOrder="0"/>
    </dxf>
    <dxf>
      <numFmt numFmtId="164" formatCode="0;\-0;;@"/>
    </dxf>
    <dxf>
      <numFmt numFmtId="165" formatCode="[$-409]m/d/yy\ h:mm\ AM/P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CheckBox" fmlaLink="$B$2" lockText="1" noThreeD="1"/>
</file>

<file path=xl/ctrlProps/ctrlProp2.xml><?xml version="1.0" encoding="utf-8"?>
<formControlPr xmlns="http://schemas.microsoft.com/office/spreadsheetml/2009/9/main" objectType="CheckBox" fmlaLink="$B$3" lockText="1" noThreeD="1"/>
</file>

<file path=xl/ctrlProps/ctrlProp3.xml><?xml version="1.0" encoding="utf-8"?>
<formControlPr xmlns="http://schemas.microsoft.com/office/spreadsheetml/2009/9/main" objectType="CheckBox" fmlaLink="$B$4" lockText="1" noThreeD="1"/>
</file>

<file path=xl/ctrlProps/ctrlProp4.xml><?xml version="1.0" encoding="utf-8"?>
<formControlPr xmlns="http://schemas.microsoft.com/office/spreadsheetml/2009/9/main" objectType="CheckBox" fmlaLink="$B$141" lockText="1" noThreeD="1"/>
</file>

<file path=xl/ctrlProps/ctrlProp5.xml><?xml version="1.0" encoding="utf-8"?>
<formControlPr xmlns="http://schemas.microsoft.com/office/spreadsheetml/2009/9/main" objectType="CheckBox" fmlaLink="$B$151" lockText="1" noThreeD="1"/>
</file>

<file path=xl/ctrlProps/ctrlProp6.xml><?xml version="1.0" encoding="utf-8"?>
<formControlPr xmlns="http://schemas.microsoft.com/office/spreadsheetml/2009/9/main" objectType="CheckBox" fmlaLink="$B$5" lockText="1" noThreeD="1"/>
</file>

<file path=xl/ctrlProps/ctrlProp7.xml><?xml version="1.0" encoding="utf-8"?>
<formControlPr xmlns="http://schemas.microsoft.com/office/spreadsheetml/2009/9/main" objectType="CheckBox" fmlaLink="$B$6" lockText="1" noThreeD="1"/>
</file>

<file path=xl/ctrlProps/ctrlProp8.xml><?xml version="1.0" encoding="utf-8"?>
<formControlPr xmlns="http://schemas.microsoft.com/office/spreadsheetml/2009/9/main" objectType="CheckBox" fmlaLink="$B$2" lockText="1" noThreeD="1"/>
</file>

<file path=xl/ctrlProps/ctrlProp9.xml><?xml version="1.0" encoding="utf-8"?>
<formControlPr xmlns="http://schemas.microsoft.com/office/spreadsheetml/2009/9/main" objectType="CheckBox" fmlaLink="$B$152" lockText="1" noThreeD="1"/>
</file>

<file path=xl/ctrlProps/ctrlProp10.xml><?xml version="1.0" encoding="utf-8"?>
<formControlPr xmlns="http://schemas.microsoft.com/office/spreadsheetml/2009/9/main" objectType="CheckBox" fmlaLink="$B$2" lockText="1" noThreeD="1"/>
</file>

<file path=xl/ctrlProps/ctrlProp11.xml><?xml version="1.0" encoding="utf-8"?>
<formControlPr xmlns="http://schemas.microsoft.com/office/spreadsheetml/2009/9/main" objectType="CheckBox" fmlaLink="$B$153" lockText="1" noThreeD="1"/>
</file>

<file path=xl/ctrlProps/ctrlProp12.xml><?xml version="1.0" encoding="utf-8"?>
<formControlPr xmlns="http://schemas.microsoft.com/office/spreadsheetml/2009/9/main" objectType="CheckBox" fmlaLink="$B$6" lockText="1" noThreeD="1"/>
</file>

<file path=xl/ctrlProps/ctrlProp13.xml><?xml version="1.0" encoding="utf-8"?>
<formControlPr xmlns="http://schemas.microsoft.com/office/spreadsheetml/2009/9/main" objectType="CheckBox" fmlaLink="$B$7" lockText="1" noThreeD="1"/>
</file>

<file path=xl/ctrlProps/ctrlProp14.xml><?xml version="1.0" encoding="utf-8"?>
<formControlPr xmlns="http://schemas.microsoft.com/office/spreadsheetml/2009/9/main" objectType="CheckBox" fmlaLink="$B$8" lockText="1" noThreeD="1"/>
</file>

<file path=xl/ctrlProps/ctrlProp15.xml><?xml version="1.0" encoding="utf-8"?>
<formControlPr xmlns="http://schemas.microsoft.com/office/spreadsheetml/2009/9/main" objectType="CheckBox" fmlaLink="$B$9" lockText="1" noThreeD="1"/>
</file>

<file path=xl/ctrlProps/ctrlProp16.xml><?xml version="1.0" encoding="utf-8"?>
<formControlPr xmlns="http://schemas.microsoft.com/office/spreadsheetml/2009/9/main" objectType="CheckBox" fmlaLink="$B$10" lockText="1" noThreeD="1"/>
</file>

<file path=xl/ctrlProps/ctrlProp17.xml><?xml version="1.0" encoding="utf-8"?>
<formControlPr xmlns="http://schemas.microsoft.com/office/spreadsheetml/2009/9/main" objectType="CheckBox" fmlaLink="$B$154" lockText="1" noThreeD="1"/>
</file>

<file path=xl/ctrlProps/ctrlProp18.xml><?xml version="1.0" encoding="utf-8"?>
<formControlPr xmlns="http://schemas.microsoft.com/office/spreadsheetml/2009/9/main" objectType="CheckBox" fmlaLink="$B$181" lockText="1" noThreeD="1"/>
</file>

<file path=xl/ctrlProps/ctrlProp19.xml><?xml version="1.0" encoding="utf-8"?>
<formControlPr xmlns="http://schemas.microsoft.com/office/spreadsheetml/2009/9/main" objectType="CheckBox" fmlaLink="$B$182" lockText="1" noThreeD="1"/>
</file>

<file path=xl/ctrlProps/ctrlProp20.xml><?xml version="1.0" encoding="utf-8"?>
<formControlPr xmlns="http://schemas.microsoft.com/office/spreadsheetml/2009/9/main" objectType="CheckBox" fmlaLink="$B$11" lockText="1" noThreeD="1"/>
</file>

<file path=xl/ctrlProps/ctrlProp21.xml><?xml version="1.0" encoding="utf-8"?>
<formControlPr xmlns="http://schemas.microsoft.com/office/spreadsheetml/2009/9/main" objectType="CheckBox" fmlaLink="$B$12" lockText="1" noThreeD="1"/>
</file>

<file path=xl/ctrlProps/ctrlProp22.xml><?xml version="1.0" encoding="utf-8"?>
<formControlPr xmlns="http://schemas.microsoft.com/office/spreadsheetml/2009/9/main" objectType="CheckBox" fmlaLink="$B$13" lockText="1" noThreeD="1"/>
</file>

<file path=xl/ctrlProps/ctrlProp23.xml><?xml version="1.0" encoding="utf-8"?>
<formControlPr xmlns="http://schemas.microsoft.com/office/spreadsheetml/2009/9/main" objectType="CheckBox" fmlaLink="$B$14" lockText="1" noThreeD="1"/>
</file>

<file path=xl/ctrlProps/ctrlProp24.xml><?xml version="1.0" encoding="utf-8"?>
<formControlPr xmlns="http://schemas.microsoft.com/office/spreadsheetml/2009/9/main" objectType="CheckBox" fmlaLink="$B$142" lockText="1" noThreeD="1"/>
</file>

<file path=xl/ctrlProps/ctrlProp25.xml><?xml version="1.0" encoding="utf-8"?>
<formControlPr xmlns="http://schemas.microsoft.com/office/spreadsheetml/2009/9/main" objectType="CheckBox" fmlaLink="$B$15" lockText="1" noThreeD="1"/>
</file>

<file path=xl/ctrlProps/ctrlProp26.xml><?xml version="1.0" encoding="utf-8"?>
<formControlPr xmlns="http://schemas.microsoft.com/office/spreadsheetml/2009/9/main" objectType="CheckBox" fmlaLink="$B$16" lockText="1" noThreeD="1"/>
</file>

<file path=xl/ctrlProps/ctrlProp27.xml><?xml version="1.0" encoding="utf-8"?>
<formControlPr xmlns="http://schemas.microsoft.com/office/spreadsheetml/2009/9/main" objectType="CheckBox" fmlaLink="$B$17" lockText="1" noThreeD="1"/>
</file>

<file path=xl/ctrlProps/ctrlProp28.xml><?xml version="1.0" encoding="utf-8"?>
<formControlPr xmlns="http://schemas.microsoft.com/office/spreadsheetml/2009/9/main" objectType="CheckBox" fmlaLink="$B$17" lockText="1" noThreeD="1"/>
</file>

<file path=xl/ctrlProps/ctrlProp29.xml><?xml version="1.0" encoding="utf-8"?>
<formControlPr xmlns="http://schemas.microsoft.com/office/spreadsheetml/2009/9/main" objectType="CheckBox" fmlaLink="$B$18" lockText="1" noThreeD="1"/>
</file>

<file path=xl/ctrlProps/ctrlProp30.xml><?xml version="1.0" encoding="utf-8"?>
<formControlPr xmlns="http://schemas.microsoft.com/office/spreadsheetml/2009/9/main" objectType="CheckBox" fmlaLink="$B$19" lockText="1" noThreeD="1"/>
</file>

<file path=xl/ctrlProps/ctrlProp31.xml><?xml version="1.0" encoding="utf-8"?>
<formControlPr xmlns="http://schemas.microsoft.com/office/spreadsheetml/2009/9/main" objectType="CheckBox" fmlaLink="$B$20" lockText="1" noThreeD="1"/>
</file>

<file path=xl/ctrlProps/ctrlProp32.xml><?xml version="1.0" encoding="utf-8"?>
<formControlPr xmlns="http://schemas.microsoft.com/office/spreadsheetml/2009/9/main" objectType="CheckBox" fmlaLink="$B$21" lockText="1" noThreeD="1"/>
</file>

<file path=xl/ctrlProps/ctrlProp33.xml><?xml version="1.0" encoding="utf-8"?>
<formControlPr xmlns="http://schemas.microsoft.com/office/spreadsheetml/2009/9/main" objectType="CheckBox" fmlaLink="$B$155" lockText="1" noThreeD="1"/>
</file>

<file path=xl/ctrlProps/ctrlProp34.xml><?xml version="1.0" encoding="utf-8"?>
<formControlPr xmlns="http://schemas.microsoft.com/office/spreadsheetml/2009/9/main" objectType="CheckBox" fmlaLink="$B$156" lockText="1" noThreeD="1"/>
</file>

<file path=xl/ctrlProps/ctrlProp35.xml><?xml version="1.0" encoding="utf-8"?>
<formControlPr xmlns="http://schemas.microsoft.com/office/spreadsheetml/2009/9/main" objectType="CheckBox" fmlaLink="$B$157" lockText="1" noThreeD="1"/>
</file>

<file path=xl/ctrlProps/ctrlProp36.xml><?xml version="1.0" encoding="utf-8"?>
<formControlPr xmlns="http://schemas.microsoft.com/office/spreadsheetml/2009/9/main" objectType="CheckBox" fmlaLink="$B$22" lockText="1" noThreeD="1"/>
</file>

<file path=xl/ctrlProps/ctrlProp37.xml><?xml version="1.0" encoding="utf-8"?>
<formControlPr xmlns="http://schemas.microsoft.com/office/spreadsheetml/2009/9/main" objectType="CheckBox" fmlaLink="$B$23" lockText="1" noThreeD="1"/>
</file>

<file path=xl/ctrlProps/ctrlProp38.xml><?xml version="1.0" encoding="utf-8"?>
<formControlPr xmlns="http://schemas.microsoft.com/office/spreadsheetml/2009/9/main" objectType="CheckBox" fmlaLink="$B$2" lockText="1" noThreeD="1"/>
</file>

<file path=xl/ctrlProps/ctrlProp39.xml><?xml version="1.0" encoding="utf-8"?>
<formControlPr xmlns="http://schemas.microsoft.com/office/spreadsheetml/2009/9/main" objectType="CheckBox" fmlaLink="$B$24" lockText="1" noThreeD="1"/>
</file>

<file path=xl/ctrlProps/ctrlProp40.xml><?xml version="1.0" encoding="utf-8"?>
<formControlPr xmlns="http://schemas.microsoft.com/office/spreadsheetml/2009/9/main" objectType="CheckBox" fmlaLink="$B$24" lockText="1" noThreeD="1"/>
</file>

<file path=xl/ctrlProps/ctrlProp41.xml><?xml version="1.0" encoding="utf-8"?>
<formControlPr xmlns="http://schemas.microsoft.com/office/spreadsheetml/2009/9/main" objectType="CheckBox" fmlaLink="$B$25" lockText="1" noThreeD="1"/>
</file>

<file path=xl/ctrlProps/ctrlProp42.xml><?xml version="1.0" encoding="utf-8"?>
<formControlPr xmlns="http://schemas.microsoft.com/office/spreadsheetml/2009/9/main" objectType="CheckBox" fmlaLink="$B$26" lockText="1" noThreeD="1"/>
</file>

<file path=xl/ctrlProps/ctrlProp43.xml><?xml version="1.0" encoding="utf-8"?>
<formControlPr xmlns="http://schemas.microsoft.com/office/spreadsheetml/2009/9/main" objectType="CheckBox" fmlaLink="$B$158" lockText="1" noThreeD="1"/>
</file>

<file path=xl/ctrlProps/ctrlProp44.xml><?xml version="1.0" encoding="utf-8"?>
<formControlPr xmlns="http://schemas.microsoft.com/office/spreadsheetml/2009/9/main" objectType="CheckBox" fmlaLink="$B$27" lockText="1" noThreeD="1"/>
</file>

<file path=xl/ctrlProps/ctrlProp45.xml><?xml version="1.0" encoding="utf-8"?>
<formControlPr xmlns="http://schemas.microsoft.com/office/spreadsheetml/2009/9/main" objectType="CheckBox" fmlaLink="$B$27" lockText="1" noThreeD="1"/>
</file>

<file path=xl/ctrlProps/ctrlProp46.xml><?xml version="1.0" encoding="utf-8"?>
<formControlPr xmlns="http://schemas.microsoft.com/office/spreadsheetml/2009/9/main" objectType="CheckBox" fmlaLink="$B$28" lockText="1" noThreeD="1"/>
</file>

<file path=xl/ctrlProps/ctrlProp47.xml><?xml version="1.0" encoding="utf-8"?>
<formControlPr xmlns="http://schemas.microsoft.com/office/spreadsheetml/2009/9/main" objectType="CheckBox" fmlaLink="$B$29" lockText="1" noThreeD="1"/>
</file>

<file path=xl/ctrlProps/ctrlProp48.xml><?xml version="1.0" encoding="utf-8"?>
<formControlPr xmlns="http://schemas.microsoft.com/office/spreadsheetml/2009/9/main" objectType="CheckBox" fmlaLink="$B$30" lockText="1" noThreeD="1"/>
</file>

<file path=xl/ctrlProps/ctrlProp49.xml><?xml version="1.0" encoding="utf-8"?>
<formControlPr xmlns="http://schemas.microsoft.com/office/spreadsheetml/2009/9/main" objectType="CheckBox" fmlaLink="$B$31" lockText="1" noThreeD="1"/>
</file>

<file path=xl/ctrlProps/ctrlProp50.xml><?xml version="1.0" encoding="utf-8"?>
<formControlPr xmlns="http://schemas.microsoft.com/office/spreadsheetml/2009/9/main" objectType="CheckBox" fmlaLink="$B$31" lockText="1" noThreeD="1"/>
</file>

<file path=xl/ctrlProps/ctrlProp51.xml><?xml version="1.0" encoding="utf-8"?>
<formControlPr xmlns="http://schemas.microsoft.com/office/spreadsheetml/2009/9/main" objectType="CheckBox" fmlaLink="$B$32" lockText="1" noThreeD="1"/>
</file>

<file path=xl/ctrlProps/ctrlProp52.xml><?xml version="1.0" encoding="utf-8"?>
<formControlPr xmlns="http://schemas.microsoft.com/office/spreadsheetml/2009/9/main" objectType="CheckBox" fmlaLink="$B$33" lockText="1" noThreeD="1"/>
</file>

<file path=xl/ctrlProps/ctrlProp53.xml><?xml version="1.0" encoding="utf-8"?>
<formControlPr xmlns="http://schemas.microsoft.com/office/spreadsheetml/2009/9/main" objectType="CheckBox" fmlaLink="$B$34" lockText="1" noThreeD="1"/>
</file>

<file path=xl/ctrlProps/ctrlProp54.xml><?xml version="1.0" encoding="utf-8"?>
<formControlPr xmlns="http://schemas.microsoft.com/office/spreadsheetml/2009/9/main" objectType="CheckBox" fmlaLink="$B$159" lockText="1" noThreeD="1"/>
</file>

<file path=xl/ctrlProps/ctrlProp55.xml><?xml version="1.0" encoding="utf-8"?>
<formControlPr xmlns="http://schemas.microsoft.com/office/spreadsheetml/2009/9/main" objectType="CheckBox" fmlaLink="$B$35" lockText="1" noThreeD="1"/>
</file>

<file path=xl/ctrlProps/ctrlProp56.xml><?xml version="1.0" encoding="utf-8"?>
<formControlPr xmlns="http://schemas.microsoft.com/office/spreadsheetml/2009/9/main" objectType="CheckBox" fmlaLink="$B$36" lockText="1" noThreeD="1"/>
</file>

<file path=xl/ctrlProps/ctrlProp57.xml><?xml version="1.0" encoding="utf-8"?>
<formControlPr xmlns="http://schemas.microsoft.com/office/spreadsheetml/2009/9/main" objectType="CheckBox" fmlaLink="$B$37" lockText="1" noThreeD="1"/>
</file>

<file path=xl/ctrlProps/ctrlProp58.xml><?xml version="1.0" encoding="utf-8"?>
<formControlPr xmlns="http://schemas.microsoft.com/office/spreadsheetml/2009/9/main" objectType="CheckBox" fmlaLink="$B$38" lockText="1" noThreeD="1"/>
</file>

<file path=xl/ctrlProps/ctrlProp59.xml><?xml version="1.0" encoding="utf-8"?>
<formControlPr xmlns="http://schemas.microsoft.com/office/spreadsheetml/2009/9/main" objectType="CheckBox" fmlaLink="$B$143" lockText="1" noThreeD="1"/>
</file>

<file path=xl/ctrlProps/ctrlProp60.xml><?xml version="1.0" encoding="utf-8"?>
<formControlPr xmlns="http://schemas.microsoft.com/office/spreadsheetml/2009/9/main" objectType="CheckBox" fmlaLink="$B$39" lockText="1" noThreeD="1"/>
</file>

<file path=xl/ctrlProps/ctrlProp61.xml><?xml version="1.0" encoding="utf-8"?>
<formControlPr xmlns="http://schemas.microsoft.com/office/spreadsheetml/2009/9/main" objectType="CheckBox" fmlaLink="$B$40" lockText="1" noThreeD="1"/>
</file>

<file path=xl/ctrlProps/ctrlProp62.xml><?xml version="1.0" encoding="utf-8"?>
<formControlPr xmlns="http://schemas.microsoft.com/office/spreadsheetml/2009/9/main" objectType="CheckBox" fmlaLink="$B$41" lockText="1" noThreeD="1"/>
</file>

<file path=xl/ctrlProps/ctrlProp63.xml><?xml version="1.0" encoding="utf-8"?>
<formControlPr xmlns="http://schemas.microsoft.com/office/spreadsheetml/2009/9/main" objectType="CheckBox" fmlaLink="$B$42" lockText="1" noThreeD="1"/>
</file>

<file path=xl/ctrlProps/ctrlProp64.xml><?xml version="1.0" encoding="utf-8"?>
<formControlPr xmlns="http://schemas.microsoft.com/office/spreadsheetml/2009/9/main" objectType="CheckBox" fmlaLink="$B$2" lockText="1" noThreeD="1"/>
</file>

<file path=xl/ctrlProps/ctrlProp65.xml><?xml version="1.0" encoding="utf-8"?>
<formControlPr xmlns="http://schemas.microsoft.com/office/spreadsheetml/2009/9/main" objectType="CheckBox" fmlaLink="$B$43" lockText="1" noThreeD="1"/>
</file>

<file path=xl/ctrlProps/ctrlProp66.xml><?xml version="1.0" encoding="utf-8"?>
<formControlPr xmlns="http://schemas.microsoft.com/office/spreadsheetml/2009/9/main" objectType="CheckBox" fmlaLink="$B$44" lockText="1" noThreeD="1"/>
</file>

<file path=xl/ctrlProps/ctrlProp67.xml><?xml version="1.0" encoding="utf-8"?>
<formControlPr xmlns="http://schemas.microsoft.com/office/spreadsheetml/2009/9/main" objectType="CheckBox" fmlaLink="$B$45" lockText="1" noThreeD="1"/>
</file>

<file path=xl/ctrlProps/ctrlProp68.xml><?xml version="1.0" encoding="utf-8"?>
<formControlPr xmlns="http://schemas.microsoft.com/office/spreadsheetml/2009/9/main" objectType="CheckBox" fmlaLink="$B$46" lockText="1" noThreeD="1"/>
</file>

<file path=xl/ctrlProps/ctrlProp69.xml><?xml version="1.0" encoding="utf-8"?>
<formControlPr xmlns="http://schemas.microsoft.com/office/spreadsheetml/2009/9/main" objectType="CheckBox" fmlaLink="$B$160" lockText="1" noThreeD="1"/>
</file>

<file path=xl/ctrlProps/ctrlProp70.xml><?xml version="1.0" encoding="utf-8"?>
<formControlPr xmlns="http://schemas.microsoft.com/office/spreadsheetml/2009/9/main" objectType="CheckBox" fmlaLink="$B$183" lockText="1" noThreeD="1"/>
</file>

<file path=xl/ctrlProps/ctrlProp71.xml><?xml version="1.0" encoding="utf-8"?>
<formControlPr xmlns="http://schemas.microsoft.com/office/spreadsheetml/2009/9/main" objectType="CheckBox" fmlaLink="$B$184" lockText="1" noThreeD="1"/>
</file>

<file path=xl/ctrlProps/ctrlProp72.xml><?xml version="1.0" encoding="utf-8"?>
<formControlPr xmlns="http://schemas.microsoft.com/office/spreadsheetml/2009/9/main" objectType="CheckBox" fmlaLink="$B$185" lockText="1" noThreeD="1"/>
</file>

<file path=xl/ctrlProps/ctrlProp73.xml><?xml version="1.0" encoding="utf-8"?>
<formControlPr xmlns="http://schemas.microsoft.com/office/spreadsheetml/2009/9/main" objectType="CheckBox" fmlaLink="$B$2" lockText="1" noThreeD="1"/>
</file>

<file path=xl/ctrlProps/ctrlProp74.xml><?xml version="1.0" encoding="utf-8"?>
<formControlPr xmlns="http://schemas.microsoft.com/office/spreadsheetml/2009/9/main" objectType="CheckBox" fmlaLink="$B$2" lockText="1" noThreeD="1"/>
</file>

<file path=xl/ctrlProps/ctrlProp75.xml><?xml version="1.0" encoding="utf-8"?>
<formControlPr xmlns="http://schemas.microsoft.com/office/spreadsheetml/2009/9/main" objectType="CheckBox" fmlaLink="$B$2" lockText="1" noThreeD="1"/>
</file>

<file path=xl/ctrlProps/ctrlProp76.xml><?xml version="1.0" encoding="utf-8"?>
<formControlPr xmlns="http://schemas.microsoft.com/office/spreadsheetml/2009/9/main" objectType="CheckBox" fmlaLink="$B$2" lockText="1" noThreeD="1"/>
</file>

<file path=xl/ctrlProps/ctrlProp77.xml><?xml version="1.0" encoding="utf-8"?>
<formControlPr xmlns="http://schemas.microsoft.com/office/spreadsheetml/2009/9/main" objectType="CheckBox" fmlaLink="$B$2" lockText="1" noThreeD="1"/>
</file>

<file path=xl/ctrlProps/ctrlProp78.xml><?xml version="1.0" encoding="utf-8"?>
<formControlPr xmlns="http://schemas.microsoft.com/office/spreadsheetml/2009/9/main" objectType="CheckBox" fmlaLink="$B$47" lockText="1" noThreeD="1"/>
</file>

<file path=xl/ctrlProps/ctrlProp79.xml><?xml version="1.0" encoding="utf-8"?>
<formControlPr xmlns="http://schemas.microsoft.com/office/spreadsheetml/2009/9/main" objectType="CheckBox" fmlaLink="$B$48" lockText="1" noThreeD="1"/>
</file>

<file path=xl/ctrlProps/ctrlProp80.xml><?xml version="1.0" encoding="utf-8"?>
<formControlPr xmlns="http://schemas.microsoft.com/office/spreadsheetml/2009/9/main" objectType="CheckBox" fmlaLink="$B$49" lockText="1" noThreeD="1"/>
</file>

<file path=xl/ctrlProps/ctrlProp81.xml><?xml version="1.0" encoding="utf-8"?>
<formControlPr xmlns="http://schemas.microsoft.com/office/spreadsheetml/2009/9/main" objectType="CheckBox" fmlaLink="$B$161" lockText="1" noThreeD="1"/>
</file>

<file path=xl/ctrlProps/ctrlProp82.xml><?xml version="1.0" encoding="utf-8"?>
<formControlPr xmlns="http://schemas.microsoft.com/office/spreadsheetml/2009/9/main" objectType="CheckBox" fmlaLink="$B$186" lockText="1" noThreeD="1"/>
</file>

<file path=xl/ctrlProps/ctrlProp83.xml><?xml version="1.0" encoding="utf-8"?>
<formControlPr xmlns="http://schemas.microsoft.com/office/spreadsheetml/2009/9/main" objectType="CheckBox" fmlaLink="$B$50" lockText="1" noThreeD="1"/>
</file>

<file path=xl/ctrlProps/ctrlProp84.xml><?xml version="1.0" encoding="utf-8"?>
<formControlPr xmlns="http://schemas.microsoft.com/office/spreadsheetml/2009/9/main" objectType="CheckBox" fmlaLink="$B$2" lockText="1" noThreeD="1"/>
</file>

<file path=xl/ctrlProps/ctrlProp85.xml><?xml version="1.0" encoding="utf-8"?>
<formControlPr xmlns="http://schemas.microsoft.com/office/spreadsheetml/2009/9/main" objectType="CheckBox" fmlaLink="$B$51" lockText="1" noThreeD="1"/>
</file>

<file path=xl/ctrlProps/ctrlProp86.xml><?xml version="1.0" encoding="utf-8"?>
<formControlPr xmlns="http://schemas.microsoft.com/office/spreadsheetml/2009/9/main" objectType="CheckBox" fmlaLink="$B$52" lockText="1" noThreeD="1"/>
</file>

<file path=xl/ctrlProps/ctrlProp87.xml><?xml version="1.0" encoding="utf-8"?>
<formControlPr xmlns="http://schemas.microsoft.com/office/spreadsheetml/2009/9/main" objectType="CheckBox" fmlaLink="$B$53" lockText="1" noThreeD="1"/>
</file>

<file path=xl/ctrlProps/ctrlProp88.xml><?xml version="1.0" encoding="utf-8"?>
<formControlPr xmlns="http://schemas.microsoft.com/office/spreadsheetml/2009/9/main" objectType="CheckBox" fmlaLink="$B$54" lockText="1" noThreeD="1"/>
</file>

<file path=xl/ctrlProps/ctrlProp89.xml><?xml version="1.0" encoding="utf-8"?>
<formControlPr xmlns="http://schemas.microsoft.com/office/spreadsheetml/2009/9/main" objectType="CheckBox" fmlaLink="$B$55" lockText="1" noThreeD="1"/>
</file>

<file path=xl/ctrlProps/ctrlProp90.xml><?xml version="1.0" encoding="utf-8"?>
<formControlPr xmlns="http://schemas.microsoft.com/office/spreadsheetml/2009/9/main" objectType="CheckBox" fmlaLink="$B$56" lockText="1" noThreeD="1"/>
</file>

<file path=xl/ctrlProps/ctrlProp91.xml><?xml version="1.0" encoding="utf-8"?>
<formControlPr xmlns="http://schemas.microsoft.com/office/spreadsheetml/2009/9/main" objectType="CheckBox" fmlaLink="$B$57" lockText="1" noThreeD="1"/>
</file>

<file path=xl/ctrlProps/ctrlProp92.xml><?xml version="1.0" encoding="utf-8"?>
<formControlPr xmlns="http://schemas.microsoft.com/office/spreadsheetml/2009/9/main" objectType="CheckBox" fmlaLink="$B$58" lockText="1" noThreeD="1"/>
</file>

<file path=xl/ctrlProps/ctrlProp93.xml><?xml version="1.0" encoding="utf-8"?>
<formControlPr xmlns="http://schemas.microsoft.com/office/spreadsheetml/2009/9/main" objectType="CheckBox" fmlaLink="$B$59" lockText="1" noThreeD="1"/>
</file>

<file path=xl/ctrlProps/ctrlProp94.xml><?xml version="1.0" encoding="utf-8"?>
<formControlPr xmlns="http://schemas.microsoft.com/office/spreadsheetml/2009/9/main" objectType="CheckBox" fmlaLink="$B$60" lockText="1" noThreeD="1"/>
</file>

<file path=xl/ctrlProps/ctrlProp95.xml><?xml version="1.0" encoding="utf-8"?>
<formControlPr xmlns="http://schemas.microsoft.com/office/spreadsheetml/2009/9/main" objectType="CheckBox" fmlaLink="$B$61" lockText="1" noThreeD="1"/>
</file>

<file path=xl/ctrlProps/ctrlProp96.xml><?xml version="1.0" encoding="utf-8"?>
<formControlPr xmlns="http://schemas.microsoft.com/office/spreadsheetml/2009/9/main" objectType="CheckBox" fmlaLink="$B$62" lockText="1" noThreeD="1"/>
</file>

<file path=xl/ctrlProps/ctrlProp97.xml><?xml version="1.0" encoding="utf-8"?>
<formControlPr xmlns="http://schemas.microsoft.com/office/spreadsheetml/2009/9/main" objectType="CheckBox" fmlaLink="$B$63" lockText="1" noThreeD="1"/>
</file>

<file path=xl/ctrlProps/ctrlProp98.xml><?xml version="1.0" encoding="utf-8"?>
<formControlPr xmlns="http://schemas.microsoft.com/office/spreadsheetml/2009/9/main" objectType="CheckBox" fmlaLink="$B$64" lockText="1" noThreeD="1"/>
</file>

<file path=xl/ctrlProps/ctrlProp99.xml><?xml version="1.0" encoding="utf-8"?>
<formControlPr xmlns="http://schemas.microsoft.com/office/spreadsheetml/2009/9/main" objectType="CheckBox" fmlaLink="$B$65" lockText="1" noThreeD="1"/>
</file>

<file path=xl/ctrlProps/ctrlProp100.xml><?xml version="1.0" encoding="utf-8"?>
<formControlPr xmlns="http://schemas.microsoft.com/office/spreadsheetml/2009/9/main" objectType="CheckBox" fmlaLink="$B$66" lockText="1" noThreeD="1"/>
</file>

<file path=xl/ctrlProps/ctrlProp101.xml><?xml version="1.0" encoding="utf-8"?>
<formControlPr xmlns="http://schemas.microsoft.com/office/spreadsheetml/2009/9/main" objectType="CheckBox" fmlaLink="$B$67" lockText="1" noThreeD="1"/>
</file>

<file path=xl/ctrlProps/ctrlProp102.xml><?xml version="1.0" encoding="utf-8"?>
<formControlPr xmlns="http://schemas.microsoft.com/office/spreadsheetml/2009/9/main" objectType="CheckBox" fmlaLink="$B$68" lockText="1" noThreeD="1"/>
</file>

<file path=xl/ctrlProps/ctrlProp103.xml><?xml version="1.0" encoding="utf-8"?>
<formControlPr xmlns="http://schemas.microsoft.com/office/spreadsheetml/2009/9/main" objectType="CheckBox" fmlaLink="$B$144" lockText="1" noThreeD="1"/>
</file>

<file path=xl/ctrlProps/ctrlProp104.xml><?xml version="1.0" encoding="utf-8"?>
<formControlPr xmlns="http://schemas.microsoft.com/office/spreadsheetml/2009/9/main" objectType="CheckBox" fmlaLink="$B$69" lockText="1" noThreeD="1"/>
</file>

<file path=xl/ctrlProps/ctrlProp105.xml><?xml version="1.0" encoding="utf-8"?>
<formControlPr xmlns="http://schemas.microsoft.com/office/spreadsheetml/2009/9/main" objectType="CheckBox" fmlaLink="$B$145" lockText="1" noThreeD="1"/>
</file>

<file path=xl/ctrlProps/ctrlProp106.xml><?xml version="1.0" encoding="utf-8"?>
<formControlPr xmlns="http://schemas.microsoft.com/office/spreadsheetml/2009/9/main" objectType="CheckBox" fmlaLink="$B$70" lockText="1" noThreeD="1"/>
</file>

<file path=xl/ctrlProps/ctrlProp107.xml><?xml version="1.0" encoding="utf-8"?>
<formControlPr xmlns="http://schemas.microsoft.com/office/spreadsheetml/2009/9/main" objectType="CheckBox" fmlaLink="$B$71" lockText="1" noThreeD="1"/>
</file>

<file path=xl/ctrlProps/ctrlProp108.xml><?xml version="1.0" encoding="utf-8"?>
<formControlPr xmlns="http://schemas.microsoft.com/office/spreadsheetml/2009/9/main" objectType="CheckBox" fmlaLink="$B$162" lockText="1" noThreeD="1"/>
</file>

<file path=xl/ctrlProps/ctrlProp109.xml><?xml version="1.0" encoding="utf-8"?>
<formControlPr xmlns="http://schemas.microsoft.com/office/spreadsheetml/2009/9/main" objectType="CheckBox" fmlaLink="$B$163" lockText="1" noThreeD="1"/>
</file>

<file path=xl/ctrlProps/ctrlProp110.xml><?xml version="1.0" encoding="utf-8"?>
<formControlPr xmlns="http://schemas.microsoft.com/office/spreadsheetml/2009/9/main" objectType="CheckBox" fmlaLink="$B$164" lockText="1" noThreeD="1"/>
</file>

<file path=xl/ctrlProps/ctrlProp111.xml><?xml version="1.0" encoding="utf-8"?>
<formControlPr xmlns="http://schemas.microsoft.com/office/spreadsheetml/2009/9/main" objectType="CheckBox" fmlaLink="$B$2" lockText="1" noThreeD="1"/>
</file>

<file path=xl/ctrlProps/ctrlProp112.xml><?xml version="1.0" encoding="utf-8"?>
<formControlPr xmlns="http://schemas.microsoft.com/office/spreadsheetml/2009/9/main" objectType="CheckBox" fmlaLink="$B$146" lockText="1" noThreeD="1"/>
</file>

<file path=xl/ctrlProps/ctrlProp113.xml><?xml version="1.0" encoding="utf-8"?>
<formControlPr xmlns="http://schemas.microsoft.com/office/spreadsheetml/2009/9/main" objectType="CheckBox" fmlaLink="$B$72" lockText="1" noThreeD="1"/>
</file>

<file path=xl/ctrlProps/ctrlProp114.xml><?xml version="1.0" encoding="utf-8"?>
<formControlPr xmlns="http://schemas.microsoft.com/office/spreadsheetml/2009/9/main" objectType="CheckBox" fmlaLink="$B$73" lockText="1" noThreeD="1"/>
</file>

<file path=xl/ctrlProps/ctrlProp115.xml><?xml version="1.0" encoding="utf-8"?>
<formControlPr xmlns="http://schemas.microsoft.com/office/spreadsheetml/2009/9/main" objectType="CheckBox" fmlaLink="$B$74" lockText="1" noThreeD="1"/>
</file>

<file path=xl/ctrlProps/ctrlProp116.xml><?xml version="1.0" encoding="utf-8"?>
<formControlPr xmlns="http://schemas.microsoft.com/office/spreadsheetml/2009/9/main" objectType="CheckBox" fmlaLink="$B$75" lockText="1" noThreeD="1"/>
</file>

<file path=xl/ctrlProps/ctrlProp117.xml><?xml version="1.0" encoding="utf-8"?>
<formControlPr xmlns="http://schemas.microsoft.com/office/spreadsheetml/2009/9/main" objectType="CheckBox" fmlaLink="$B$76" lockText="1" noThreeD="1"/>
</file>

<file path=xl/ctrlProps/ctrlProp118.xml><?xml version="1.0" encoding="utf-8"?>
<formControlPr xmlns="http://schemas.microsoft.com/office/spreadsheetml/2009/9/main" objectType="CheckBox" fmlaLink="$B$77" lockText="1" noThreeD="1"/>
</file>

<file path=xl/ctrlProps/ctrlProp119.xml><?xml version="1.0" encoding="utf-8"?>
<formControlPr xmlns="http://schemas.microsoft.com/office/spreadsheetml/2009/9/main" objectType="CheckBox" fmlaLink="$B$78" lockText="1" noThreeD="1"/>
</file>

<file path=xl/ctrlProps/ctrlProp120.xml><?xml version="1.0" encoding="utf-8"?>
<formControlPr xmlns="http://schemas.microsoft.com/office/spreadsheetml/2009/9/main" objectType="CheckBox" fmlaLink="$B$79" lockText="1" noThreeD="1"/>
</file>

<file path=xl/ctrlProps/ctrlProp121.xml><?xml version="1.0" encoding="utf-8"?>
<formControlPr xmlns="http://schemas.microsoft.com/office/spreadsheetml/2009/9/main" objectType="CheckBox" fmlaLink="$B$80" lockText="1" noThreeD="1"/>
</file>

<file path=xl/ctrlProps/ctrlProp122.xml><?xml version="1.0" encoding="utf-8"?>
<formControlPr xmlns="http://schemas.microsoft.com/office/spreadsheetml/2009/9/main" objectType="CheckBox" fmlaLink="$B$81" lockText="1" noThreeD="1"/>
</file>

<file path=xl/ctrlProps/ctrlProp123.xml><?xml version="1.0" encoding="utf-8"?>
<formControlPr xmlns="http://schemas.microsoft.com/office/spreadsheetml/2009/9/main" objectType="CheckBox" fmlaLink="$B$82" lockText="1" noThreeD="1"/>
</file>

<file path=xl/ctrlProps/ctrlProp124.xml><?xml version="1.0" encoding="utf-8"?>
<formControlPr xmlns="http://schemas.microsoft.com/office/spreadsheetml/2009/9/main" objectType="CheckBox" fmlaLink="$B$83" lockText="1" noThreeD="1"/>
</file>

<file path=xl/ctrlProps/ctrlProp125.xml><?xml version="1.0" encoding="utf-8"?>
<formControlPr xmlns="http://schemas.microsoft.com/office/spreadsheetml/2009/9/main" objectType="CheckBox" fmlaLink="$B$84" lockText="1" noThreeD="1"/>
</file>

<file path=xl/ctrlProps/ctrlProp126.xml><?xml version="1.0" encoding="utf-8"?>
<formControlPr xmlns="http://schemas.microsoft.com/office/spreadsheetml/2009/9/main" objectType="CheckBox" fmlaLink="$B$85" lockText="1" noThreeD="1"/>
</file>

<file path=xl/ctrlProps/ctrlProp127.xml><?xml version="1.0" encoding="utf-8"?>
<formControlPr xmlns="http://schemas.microsoft.com/office/spreadsheetml/2009/9/main" objectType="CheckBox" fmlaLink="$B$87" lockText="1" noThreeD="1"/>
</file>

<file path=xl/ctrlProps/ctrlProp128.xml><?xml version="1.0" encoding="utf-8"?>
<formControlPr xmlns="http://schemas.microsoft.com/office/spreadsheetml/2009/9/main" objectType="CheckBox" fmlaLink="$B$86" lockText="1" noThreeD="1"/>
</file>

<file path=xl/ctrlProps/ctrlProp129.xml><?xml version="1.0" encoding="utf-8"?>
<formControlPr xmlns="http://schemas.microsoft.com/office/spreadsheetml/2009/9/main" objectType="CheckBox" fmlaLink="$B$88" lockText="1" noThreeD="1"/>
</file>

<file path=xl/ctrlProps/ctrlProp130.xml><?xml version="1.0" encoding="utf-8"?>
<formControlPr xmlns="http://schemas.microsoft.com/office/spreadsheetml/2009/9/main" objectType="CheckBox" fmlaLink="$B$89" lockText="1" noThreeD="1"/>
</file>

<file path=xl/ctrlProps/ctrlProp131.xml><?xml version="1.0" encoding="utf-8"?>
<formControlPr xmlns="http://schemas.microsoft.com/office/spreadsheetml/2009/9/main" objectType="CheckBox" fmlaLink="$B$147" lockText="1" noThreeD="1"/>
</file>

<file path=xl/ctrlProps/ctrlProp132.xml><?xml version="1.0" encoding="utf-8"?>
<formControlPr xmlns="http://schemas.microsoft.com/office/spreadsheetml/2009/9/main" objectType="CheckBox" fmlaLink="$B$90" lockText="1" noThreeD="1"/>
</file>

<file path=xl/ctrlProps/ctrlProp133.xml><?xml version="1.0" encoding="utf-8"?>
<formControlPr xmlns="http://schemas.microsoft.com/office/spreadsheetml/2009/9/main" objectType="CheckBox" fmlaLink="$B$165" lockText="1" noThreeD="1"/>
</file>

<file path=xl/ctrlProps/ctrlProp134.xml><?xml version="1.0" encoding="utf-8"?>
<formControlPr xmlns="http://schemas.microsoft.com/office/spreadsheetml/2009/9/main" objectType="CheckBox" fmlaLink="$B$91" lockText="1" noThreeD="1"/>
</file>

<file path=xl/ctrlProps/ctrlProp135.xml><?xml version="1.0" encoding="utf-8"?>
<formControlPr xmlns="http://schemas.microsoft.com/office/spreadsheetml/2009/9/main" objectType="CheckBox" fmlaLink="$B$92" lockText="1" noThreeD="1"/>
</file>

<file path=xl/ctrlProps/ctrlProp136.xml><?xml version="1.0" encoding="utf-8"?>
<formControlPr xmlns="http://schemas.microsoft.com/office/spreadsheetml/2009/9/main" objectType="CheckBox" fmlaLink="$B$93" lockText="1" noThreeD="1"/>
</file>

<file path=xl/ctrlProps/ctrlProp137.xml><?xml version="1.0" encoding="utf-8"?>
<formControlPr xmlns="http://schemas.microsoft.com/office/spreadsheetml/2009/9/main" objectType="CheckBox" fmlaLink="$B$166" lockText="1" noThreeD="1"/>
</file>

<file path=xl/ctrlProps/ctrlProp138.xml><?xml version="1.0" encoding="utf-8"?>
<formControlPr xmlns="http://schemas.microsoft.com/office/spreadsheetml/2009/9/main" objectType="CheckBox" fmlaLink="$B$94" lockText="1" noThreeD="1"/>
</file>

<file path=xl/ctrlProps/ctrlProp139.xml><?xml version="1.0" encoding="utf-8"?>
<formControlPr xmlns="http://schemas.microsoft.com/office/spreadsheetml/2009/9/main" objectType="CheckBox" fmlaLink="$B$2" lockText="1" noThreeD="1"/>
</file>

<file path=xl/ctrlProps/ctrlProp140.xml><?xml version="1.0" encoding="utf-8"?>
<formControlPr xmlns="http://schemas.microsoft.com/office/spreadsheetml/2009/9/main" objectType="CheckBox" fmlaLink="$B$95" lockText="1" noThreeD="1"/>
</file>

<file path=xl/ctrlProps/ctrlProp141.xml><?xml version="1.0" encoding="utf-8"?>
<formControlPr xmlns="http://schemas.microsoft.com/office/spreadsheetml/2009/9/main" objectType="CheckBox" fmlaLink="$B$96" lockText="1" noThreeD="1"/>
</file>

<file path=xl/ctrlProps/ctrlProp142.xml><?xml version="1.0" encoding="utf-8"?>
<formControlPr xmlns="http://schemas.microsoft.com/office/spreadsheetml/2009/9/main" objectType="CheckBox" fmlaLink="$B$97" lockText="1" noThreeD="1"/>
</file>

<file path=xl/ctrlProps/ctrlProp143.xml><?xml version="1.0" encoding="utf-8"?>
<formControlPr xmlns="http://schemas.microsoft.com/office/spreadsheetml/2009/9/main" objectType="CheckBox" fmlaLink="$B$98" lockText="1" noThreeD="1"/>
</file>

<file path=xl/ctrlProps/ctrlProp144.xml><?xml version="1.0" encoding="utf-8"?>
<formControlPr xmlns="http://schemas.microsoft.com/office/spreadsheetml/2009/9/main" objectType="CheckBox" fmlaLink="$B$99" lockText="1" noThreeD="1"/>
</file>

<file path=xl/ctrlProps/ctrlProp145.xml><?xml version="1.0" encoding="utf-8"?>
<formControlPr xmlns="http://schemas.microsoft.com/office/spreadsheetml/2009/9/main" objectType="CheckBox" fmlaLink="$B$100" lockText="1" noThreeD="1"/>
</file>

<file path=xl/ctrlProps/ctrlProp146.xml><?xml version="1.0" encoding="utf-8"?>
<formControlPr xmlns="http://schemas.microsoft.com/office/spreadsheetml/2009/9/main" objectType="CheckBox" fmlaLink="$B$101" lockText="1" noThreeD="1"/>
</file>

<file path=xl/ctrlProps/ctrlProp147.xml><?xml version="1.0" encoding="utf-8"?>
<formControlPr xmlns="http://schemas.microsoft.com/office/spreadsheetml/2009/9/main" objectType="CheckBox" fmlaLink="$B$102" lockText="1" noThreeD="1"/>
</file>

<file path=xl/ctrlProps/ctrlProp148.xml><?xml version="1.0" encoding="utf-8"?>
<formControlPr xmlns="http://schemas.microsoft.com/office/spreadsheetml/2009/9/main" objectType="CheckBox" fmlaLink="$B$103" lockText="1" noThreeD="1"/>
</file>

<file path=xl/ctrlProps/ctrlProp149.xml><?xml version="1.0" encoding="utf-8"?>
<formControlPr xmlns="http://schemas.microsoft.com/office/spreadsheetml/2009/9/main" objectType="CheckBox" fmlaLink="$B$104" lockText="1" noThreeD="1"/>
</file>

<file path=xl/ctrlProps/ctrlProp150.xml><?xml version="1.0" encoding="utf-8"?>
<formControlPr xmlns="http://schemas.microsoft.com/office/spreadsheetml/2009/9/main" objectType="CheckBox" fmlaLink="$B$105" lockText="1" noThreeD="1"/>
</file>

<file path=xl/ctrlProps/ctrlProp151.xml><?xml version="1.0" encoding="utf-8"?>
<formControlPr xmlns="http://schemas.microsoft.com/office/spreadsheetml/2009/9/main" objectType="CheckBox" fmlaLink="$B$106" lockText="1" noThreeD="1"/>
</file>

<file path=xl/ctrlProps/ctrlProp152.xml><?xml version="1.0" encoding="utf-8"?>
<formControlPr xmlns="http://schemas.microsoft.com/office/spreadsheetml/2009/9/main" objectType="CheckBox" fmlaLink="$B$107" lockText="1" noThreeD="1"/>
</file>

<file path=xl/ctrlProps/ctrlProp153.xml><?xml version="1.0" encoding="utf-8"?>
<formControlPr xmlns="http://schemas.microsoft.com/office/spreadsheetml/2009/9/main" objectType="CheckBox" fmlaLink="$B$108" lockText="1" noThreeD="1"/>
</file>

<file path=xl/ctrlProps/ctrlProp154.xml><?xml version="1.0" encoding="utf-8"?>
<formControlPr xmlns="http://schemas.microsoft.com/office/spreadsheetml/2009/9/main" objectType="CheckBox" fmlaLink="$B$148" lockText="1" noThreeD="1"/>
</file>

<file path=xl/ctrlProps/ctrlProp155.xml><?xml version="1.0" encoding="utf-8"?>
<formControlPr xmlns="http://schemas.microsoft.com/office/spreadsheetml/2009/9/main" objectType="CheckBox" fmlaLink="$B$167" lockText="1" noThreeD="1"/>
</file>

<file path=xl/ctrlProps/ctrlProp156.xml><?xml version="1.0" encoding="utf-8"?>
<formControlPr xmlns="http://schemas.microsoft.com/office/spreadsheetml/2009/9/main" objectType="CheckBox" fmlaLink="$B$109" lockText="1" noThreeD="1"/>
</file>

<file path=xl/ctrlProps/ctrlProp157.xml><?xml version="1.0" encoding="utf-8"?>
<formControlPr xmlns="http://schemas.microsoft.com/office/spreadsheetml/2009/9/main" objectType="CheckBox" fmlaLink="$B$110" lockText="1" noThreeD="1"/>
</file>

<file path=xl/ctrlProps/ctrlProp158.xml><?xml version="1.0" encoding="utf-8"?>
<formControlPr xmlns="http://schemas.microsoft.com/office/spreadsheetml/2009/9/main" objectType="CheckBox" fmlaLink="$B$111" lockText="1" noThreeD="1"/>
</file>

<file path=xl/ctrlProps/ctrlProp159.xml><?xml version="1.0" encoding="utf-8"?>
<formControlPr xmlns="http://schemas.microsoft.com/office/spreadsheetml/2009/9/main" objectType="CheckBox" fmlaLink="$B$112" lockText="1" noThreeD="1"/>
</file>

<file path=xl/ctrlProps/ctrlProp160.xml><?xml version="1.0" encoding="utf-8"?>
<formControlPr xmlns="http://schemas.microsoft.com/office/spreadsheetml/2009/9/main" objectType="CheckBox" fmlaLink="$B$113" lockText="1" noThreeD="1"/>
</file>

<file path=xl/ctrlProps/ctrlProp161.xml><?xml version="1.0" encoding="utf-8"?>
<formControlPr xmlns="http://schemas.microsoft.com/office/spreadsheetml/2009/9/main" objectType="CheckBox" fmlaLink="$B$114" lockText="1" noThreeD="1"/>
</file>

<file path=xl/ctrlProps/ctrlProp162.xml><?xml version="1.0" encoding="utf-8"?>
<formControlPr xmlns="http://schemas.microsoft.com/office/spreadsheetml/2009/9/main" objectType="CheckBox" fmlaLink="$B$115" lockText="1" noThreeD="1"/>
</file>

<file path=xl/ctrlProps/ctrlProp163.xml><?xml version="1.0" encoding="utf-8"?>
<formControlPr xmlns="http://schemas.microsoft.com/office/spreadsheetml/2009/9/main" objectType="CheckBox" fmlaLink="$B$2" lockText="1" noThreeD="1"/>
</file>

<file path=xl/ctrlProps/ctrlProp164.xml><?xml version="1.0" encoding="utf-8"?>
<formControlPr xmlns="http://schemas.microsoft.com/office/spreadsheetml/2009/9/main" objectType="CheckBox" fmlaLink="$B$116" lockText="1" noThreeD="1"/>
</file>

<file path=xl/ctrlProps/ctrlProp165.xml><?xml version="1.0" encoding="utf-8"?>
<formControlPr xmlns="http://schemas.microsoft.com/office/spreadsheetml/2009/9/main" objectType="CheckBox" fmlaLink="$B$117" lockText="1" noThreeD="1"/>
</file>

<file path=xl/ctrlProps/ctrlProp166.xml><?xml version="1.0" encoding="utf-8"?>
<formControlPr xmlns="http://schemas.microsoft.com/office/spreadsheetml/2009/9/main" objectType="CheckBox" fmlaLink="$B$118" lockText="1" noThreeD="1"/>
</file>

<file path=xl/ctrlProps/ctrlProp167.xml><?xml version="1.0" encoding="utf-8"?>
<formControlPr xmlns="http://schemas.microsoft.com/office/spreadsheetml/2009/9/main" objectType="CheckBox" fmlaLink="$B$149" lockText="1" noThreeD="1"/>
</file>

<file path=xl/ctrlProps/ctrlProp168.xml><?xml version="1.0" encoding="utf-8"?>
<formControlPr xmlns="http://schemas.microsoft.com/office/spreadsheetml/2009/9/main" objectType="CheckBox" fmlaLink="$B$119" lockText="1" noThreeD="1"/>
</file>

<file path=xl/ctrlProps/ctrlProp169.xml><?xml version="1.0" encoding="utf-8"?>
<formControlPr xmlns="http://schemas.microsoft.com/office/spreadsheetml/2009/9/main" objectType="CheckBox" fmlaLink="$B$120" lockText="1" noThreeD="1"/>
</file>

<file path=xl/ctrlProps/ctrlProp170.xml><?xml version="1.0" encoding="utf-8"?>
<formControlPr xmlns="http://schemas.microsoft.com/office/spreadsheetml/2009/9/main" objectType="CheckBox" fmlaLink="$B$121" lockText="1" noThreeD="1"/>
</file>

<file path=xl/ctrlProps/ctrlProp171.xml><?xml version="1.0" encoding="utf-8"?>
<formControlPr xmlns="http://schemas.microsoft.com/office/spreadsheetml/2009/9/main" objectType="CheckBox" fmlaLink="$B$122" lockText="1" noThreeD="1"/>
</file>

<file path=xl/ctrlProps/ctrlProp172.xml><?xml version="1.0" encoding="utf-8"?>
<formControlPr xmlns="http://schemas.microsoft.com/office/spreadsheetml/2009/9/main" objectType="CheckBox" fmlaLink="$B$168" lockText="1" noThreeD="1"/>
</file>

<file path=xl/ctrlProps/ctrlProp173.xml><?xml version="1.0" encoding="utf-8"?>
<formControlPr xmlns="http://schemas.microsoft.com/office/spreadsheetml/2009/9/main" objectType="CheckBox" fmlaLink="$B$169" lockText="1" noThreeD="1"/>
</file>

<file path=xl/ctrlProps/ctrlProp174.xml><?xml version="1.0" encoding="utf-8"?>
<formControlPr xmlns="http://schemas.microsoft.com/office/spreadsheetml/2009/9/main" objectType="CheckBox" fmlaLink="$B$170" lockText="1" noThreeD="1"/>
</file>

<file path=xl/ctrlProps/ctrlProp175.xml><?xml version="1.0" encoding="utf-8"?>
<formControlPr xmlns="http://schemas.microsoft.com/office/spreadsheetml/2009/9/main" objectType="CheckBox" fmlaLink="$B$171" lockText="1" noThreeD="1"/>
</file>

<file path=xl/ctrlProps/ctrlProp176.xml><?xml version="1.0" encoding="utf-8"?>
<formControlPr xmlns="http://schemas.microsoft.com/office/spreadsheetml/2009/9/main" objectType="CheckBox" fmlaLink="$B$2" lockText="1" noThreeD="1"/>
</file>

<file path=xl/ctrlProps/ctrlProp177.xml><?xml version="1.0" encoding="utf-8"?>
<formControlPr xmlns="http://schemas.microsoft.com/office/spreadsheetml/2009/9/main" objectType="CheckBox" fmlaLink="$B$123" lockText="1" noThreeD="1"/>
</file>

<file path=xl/ctrlProps/ctrlProp178.xml><?xml version="1.0" encoding="utf-8"?>
<formControlPr xmlns="http://schemas.microsoft.com/office/spreadsheetml/2009/9/main" objectType="CheckBox" fmlaLink="$B$172" lockText="1" noThreeD="1"/>
</file>

<file path=xl/ctrlProps/ctrlProp179.xml><?xml version="1.0" encoding="utf-8"?>
<formControlPr xmlns="http://schemas.microsoft.com/office/spreadsheetml/2009/9/main" objectType="CheckBox" fmlaLink="$B$124" lockText="1" noThreeD="1"/>
</file>

<file path=xl/ctrlProps/ctrlProp180.xml><?xml version="1.0" encoding="utf-8"?>
<formControlPr xmlns="http://schemas.microsoft.com/office/spreadsheetml/2009/9/main" objectType="CheckBox" fmlaLink="$B$125" lockText="1" noThreeD="1"/>
</file>

<file path=xl/ctrlProps/ctrlProp181.xml><?xml version="1.0" encoding="utf-8"?>
<formControlPr xmlns="http://schemas.microsoft.com/office/spreadsheetml/2009/9/main" objectType="CheckBox" fmlaLink="$B$126" lockText="1" noThreeD="1"/>
</file>

<file path=xl/ctrlProps/ctrlProp182.xml><?xml version="1.0" encoding="utf-8"?>
<formControlPr xmlns="http://schemas.microsoft.com/office/spreadsheetml/2009/9/main" objectType="CheckBox" fmlaLink="$B$127" lockText="1" noThreeD="1"/>
</file>

<file path=xl/ctrlProps/ctrlProp183.xml><?xml version="1.0" encoding="utf-8"?>
<formControlPr xmlns="http://schemas.microsoft.com/office/spreadsheetml/2009/9/main" objectType="CheckBox" fmlaLink="$B$128" lockText="1" noThreeD="1"/>
</file>

<file path=xl/ctrlProps/ctrlProp184.xml><?xml version="1.0" encoding="utf-8"?>
<formControlPr xmlns="http://schemas.microsoft.com/office/spreadsheetml/2009/9/main" objectType="CheckBox" fmlaLink="$B$129" lockText="1" noThreeD="1"/>
</file>

<file path=xl/ctrlProps/ctrlProp185.xml><?xml version="1.0" encoding="utf-8"?>
<formControlPr xmlns="http://schemas.microsoft.com/office/spreadsheetml/2009/9/main" objectType="CheckBox" fmlaLink="$B$130" lockText="1" noThreeD="1"/>
</file>

<file path=xl/ctrlProps/ctrlProp186.xml><?xml version="1.0" encoding="utf-8"?>
<formControlPr xmlns="http://schemas.microsoft.com/office/spreadsheetml/2009/9/main" objectType="CheckBox" fmlaLink="$B$131" lockText="1" noThreeD="1"/>
</file>

<file path=xl/ctrlProps/ctrlProp187.xml><?xml version="1.0" encoding="utf-8"?>
<formControlPr xmlns="http://schemas.microsoft.com/office/spreadsheetml/2009/9/main" objectType="CheckBox" fmlaLink="$B$173" lockText="1" noThreeD="1"/>
</file>

<file path=xl/ctrlProps/ctrlProp188.xml><?xml version="1.0" encoding="utf-8"?>
<formControlPr xmlns="http://schemas.microsoft.com/office/spreadsheetml/2009/9/main" objectType="CheckBox" fmlaLink="$B$132" lockText="1" noThreeD="1"/>
</file>

<file path=xl/ctrlProps/ctrlProp189.xml><?xml version="1.0" encoding="utf-8"?>
<formControlPr xmlns="http://schemas.microsoft.com/office/spreadsheetml/2009/9/main" objectType="CheckBox" fmlaLink="$B$174" lockText="1" noThreeD="1"/>
</file>

<file path=xl/ctrlProps/ctrlProp190.xml><?xml version="1.0" encoding="utf-8"?>
<formControlPr xmlns="http://schemas.microsoft.com/office/spreadsheetml/2009/9/main" objectType="CheckBox" fmlaLink="$B$133" lockText="1" noThreeD="1"/>
</file>

<file path=xl/ctrlProps/ctrlProp191.xml><?xml version="1.0" encoding="utf-8"?>
<formControlPr xmlns="http://schemas.microsoft.com/office/spreadsheetml/2009/9/main" objectType="CheckBox" fmlaLink="$B$134" lockText="1" noThreeD="1"/>
</file>

<file path=xl/ctrlProps/ctrlProp192.xml><?xml version="1.0" encoding="utf-8"?>
<formControlPr xmlns="http://schemas.microsoft.com/office/spreadsheetml/2009/9/main" objectType="CheckBox" fmlaLink="$B$135" lockText="1" noThreeD="1"/>
</file>

<file path=xl/ctrlProps/ctrlProp193.xml><?xml version="1.0" encoding="utf-8"?>
<formControlPr xmlns="http://schemas.microsoft.com/office/spreadsheetml/2009/9/main" objectType="CheckBox" fmlaLink="$B$2" lockText="1" noThreeD="1"/>
</file>

<file path=xl/ctrlProps/ctrlProp194.xml><?xml version="1.0" encoding="utf-8"?>
<formControlPr xmlns="http://schemas.microsoft.com/office/spreadsheetml/2009/9/main" objectType="CheckBox" fmlaLink="$B$175" lockText="1" noThreeD="1"/>
</file>

<file path=xl/ctrlProps/ctrlProp195.xml><?xml version="1.0" encoding="utf-8"?>
<formControlPr xmlns="http://schemas.microsoft.com/office/spreadsheetml/2009/9/main" objectType="CheckBox" fmlaLink="$B$136" lockText="1" noThreeD="1"/>
</file>

<file path=xl/ctrlProps/ctrlProp196.xml><?xml version="1.0" encoding="utf-8"?>
<formControlPr xmlns="http://schemas.microsoft.com/office/spreadsheetml/2009/9/main" objectType="CheckBox" fmlaLink="$B$176" lockText="1" noThreeD="1"/>
</file>

<file path=xl/ctrlProps/ctrlProp197.xml><?xml version="1.0" encoding="utf-8"?>
<formControlPr xmlns="http://schemas.microsoft.com/office/spreadsheetml/2009/9/main" objectType="CheckBox" fmlaLink="$B$137" lockText="1" noThreeD="1"/>
</file>

<file path=xl/ctrlProps/ctrlProp198.xml><?xml version="1.0" encoding="utf-8"?>
<formControlPr xmlns="http://schemas.microsoft.com/office/spreadsheetml/2009/9/main" objectType="CheckBox" fmlaLink="$B$2" lockText="1" noThreeD="1"/>
</file>

<file path=xl/ctrlProps/ctrlProp199.xml><?xml version="1.0" encoding="utf-8"?>
<formControlPr xmlns="http://schemas.microsoft.com/office/spreadsheetml/2009/9/main" objectType="CheckBox" fmlaLink="$B$177" lockText="1" noThreeD="1"/>
</file>

<file path=xl/ctrlProps/ctrlProp200.xml><?xml version="1.0" encoding="utf-8"?>
<formControlPr xmlns="http://schemas.microsoft.com/office/spreadsheetml/2009/9/main" objectType="CheckBox" fmlaLink="$B$178" lockText="1" noThreeD="1"/>
</file>

<file path=xl/ctrlProps/ctrlProp201.xml><?xml version="1.0" encoding="utf-8"?>
<formControlPr xmlns="http://schemas.microsoft.com/office/spreadsheetml/2009/9/main" objectType="CheckBox" fmlaLink="$B$138" lockText="1" noThreeD="1"/>
</file>

<file path=xl/ctrlProps/ctrlProp202.xml><?xml version="1.0" encoding="utf-8"?>
<formControlPr xmlns="http://schemas.microsoft.com/office/spreadsheetml/2009/9/main" objectType="CheckBox" fmlaLink="$B$2" lockText="1" noThreeD="1"/>
</file>

<file path=xl/ctrlProps/ctrlProp203.xml><?xml version="1.0" encoding="utf-8"?>
<formControlPr xmlns="http://schemas.microsoft.com/office/spreadsheetml/2009/9/main" objectType="CheckBox" fmlaLink="$B$2" lockText="1" noThreeD="1"/>
</file>

<file path=xl/ctrlProps/ctrlProp204.xml><?xml version="1.0" encoding="utf-8"?>
<formControlPr xmlns="http://schemas.microsoft.com/office/spreadsheetml/2009/9/main" objectType="CheckBox" fmlaLink="$B$2" lockText="1" noThreeD="1"/>
</file>

<file path=xl/ctrlProps/ctrlProp205.xml><?xml version="1.0" encoding="utf-8"?>
<formControlPr xmlns="http://schemas.microsoft.com/office/spreadsheetml/2009/9/main" objectType="CheckBox" fmlaLink="$B$2" lockText="1" noThreeD="1"/>
</file>

<file path=xl/ctrlProps/ctrlProp206.xml><?xml version="1.0" encoding="utf-8"?>
<formControlPr xmlns="http://schemas.microsoft.com/office/spreadsheetml/2009/9/main" objectType="CheckBox" fmlaLink="$B$139" lockText="1" noThreeD="1"/>
</file>

<file path=xl/ctrlProps/ctrlProp207.xml><?xml version="1.0" encoding="utf-8"?>
<formControlPr xmlns="http://schemas.microsoft.com/office/spreadsheetml/2009/9/main" objectType="CheckBox" fmlaLink="$B$140" lockText="1" noThreeD="1"/>
</file>

<file path=xl/ctrlProps/ctrlProp208.xml><?xml version="1.0" encoding="utf-8"?>
<formControlPr xmlns="http://schemas.microsoft.com/office/spreadsheetml/2009/9/main" objectType="CheckBox" fmlaLink="$B$150" lockText="1" noThreeD="1"/>
</file>

<file path=xl/ctrlProps/ctrlProp209.xml><?xml version="1.0" encoding="utf-8"?>
<formControlPr xmlns="http://schemas.microsoft.com/office/spreadsheetml/2009/9/main" objectType="CheckBox" fmlaLink="$B$179" lockText="1" noThreeD="1"/>
</file>

<file path=xl/ctrlProps/ctrlProp210.xml><?xml version="1.0" encoding="utf-8"?>
<formControlPr xmlns="http://schemas.microsoft.com/office/spreadsheetml/2009/9/main" objectType="CheckBox" fmlaLink="$B$180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12700</xdr:rowOff>
        </xdr:from>
        <xdr:to>
          <xdr:col>0</xdr:col>
          <xdr:colOff>368300</xdr:colOff>
          <xdr:row>2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</xdr:row>
          <xdr:rowOff>12700</xdr:rowOff>
        </xdr:from>
        <xdr:to>
          <xdr:col>0</xdr:col>
          <xdr:colOff>368300</xdr:colOff>
          <xdr:row>3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</xdr:rowOff>
        </xdr:from>
        <xdr:to>
          <xdr:col>0</xdr:col>
          <xdr:colOff>368300</xdr:colOff>
          <xdr:row>4</xdr:row>
          <xdr:rowOff>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140</xdr:row>
          <xdr:rowOff>12700</xdr:rowOff>
        </xdr:from>
        <xdr:to>
          <xdr:col>0</xdr:col>
          <xdr:colOff>368300</xdr:colOff>
          <xdr:row>141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150</xdr:row>
          <xdr:rowOff>12700</xdr:rowOff>
        </xdr:from>
        <xdr:to>
          <xdr:col>0</xdr:col>
          <xdr:colOff>368300</xdr:colOff>
          <xdr:row>151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</xdr:row>
          <xdr:rowOff>12700</xdr:rowOff>
        </xdr:from>
        <xdr:to>
          <xdr:col>0</xdr:col>
          <xdr:colOff>368300</xdr:colOff>
          <xdr:row>4</xdr:row>
          <xdr:rowOff>192767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0</xdr:rowOff>
        </xdr:from>
        <xdr:to>
          <xdr:col>0</xdr:col>
          <xdr:colOff>368300</xdr:colOff>
          <xdr:row>5</xdr:row>
          <xdr:rowOff>177800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151</xdr:row>
          <xdr:rowOff>12700</xdr:rowOff>
        </xdr:from>
        <xdr:to>
          <xdr:col>0</xdr:col>
          <xdr:colOff>368300</xdr:colOff>
          <xdr:row>151</xdr:row>
          <xdr:rowOff>192767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152</xdr:row>
          <xdr:rowOff>12700</xdr:rowOff>
        </xdr:from>
        <xdr:to>
          <xdr:col>0</xdr:col>
          <xdr:colOff>368300</xdr:colOff>
          <xdr:row>152</xdr:row>
          <xdr:rowOff>189254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12700</xdr:rowOff>
        </xdr:from>
        <xdr:to>
          <xdr:col>0</xdr:col>
          <xdr:colOff>368300</xdr:colOff>
          <xdr:row>5</xdr:row>
          <xdr:rowOff>189254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</xdr:row>
          <xdr:rowOff>12700</xdr:rowOff>
        </xdr:from>
        <xdr:to>
          <xdr:col>0</xdr:col>
          <xdr:colOff>368300</xdr:colOff>
          <xdr:row>6</xdr:row>
          <xdr:rowOff>189255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</xdr:row>
          <xdr:rowOff>12700</xdr:rowOff>
        </xdr:from>
        <xdr:to>
          <xdr:col>0</xdr:col>
          <xdr:colOff>368300</xdr:colOff>
          <xdr:row>7</xdr:row>
          <xdr:rowOff>189255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12700</xdr:rowOff>
        </xdr:from>
        <xdr:to>
          <xdr:col>0</xdr:col>
          <xdr:colOff>368300</xdr:colOff>
          <xdr:row>9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</xdr:row>
          <xdr:rowOff>12700</xdr:rowOff>
        </xdr:from>
        <xdr:to>
          <xdr:col>0</xdr:col>
          <xdr:colOff>368300</xdr:colOff>
          <xdr:row>10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153</xdr:row>
          <xdr:rowOff>12700</xdr:rowOff>
        </xdr:from>
        <xdr:to>
          <xdr:col>0</xdr:col>
          <xdr:colOff>368300</xdr:colOff>
          <xdr:row>153</xdr:row>
          <xdr:rowOff>189255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180</xdr:row>
          <xdr:rowOff>12700</xdr:rowOff>
        </xdr:from>
        <xdr:to>
          <xdr:col>0</xdr:col>
          <xdr:colOff>368300</xdr:colOff>
          <xdr:row>181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181</xdr:row>
          <xdr:rowOff>12700</xdr:rowOff>
        </xdr:from>
        <xdr:to>
          <xdr:col>0</xdr:col>
          <xdr:colOff>368300</xdr:colOff>
          <xdr:row>182</xdr:row>
          <xdr:rowOff>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</xdr:row>
          <xdr:rowOff>12700</xdr:rowOff>
        </xdr:from>
        <xdr:to>
          <xdr:col>0</xdr:col>
          <xdr:colOff>368300</xdr:colOff>
          <xdr:row>11</xdr:row>
          <xdr:rowOff>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</xdr:row>
          <xdr:rowOff>12700</xdr:rowOff>
        </xdr:from>
        <xdr:to>
          <xdr:col>0</xdr:col>
          <xdr:colOff>368300</xdr:colOff>
          <xdr:row>11</xdr:row>
          <xdr:rowOff>192767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</xdr:row>
          <xdr:rowOff>12700</xdr:rowOff>
        </xdr:from>
        <xdr:to>
          <xdr:col>0</xdr:col>
          <xdr:colOff>368300</xdr:colOff>
          <xdr:row>13</xdr:row>
          <xdr:rowOff>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</xdr:row>
          <xdr:rowOff>12700</xdr:rowOff>
        </xdr:from>
        <xdr:to>
          <xdr:col>0</xdr:col>
          <xdr:colOff>368300</xdr:colOff>
          <xdr:row>14</xdr:row>
          <xdr:rowOff>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141</xdr:row>
          <xdr:rowOff>12700</xdr:rowOff>
        </xdr:from>
        <xdr:to>
          <xdr:col>0</xdr:col>
          <xdr:colOff>368300</xdr:colOff>
          <xdr:row>142</xdr:row>
          <xdr:rowOff>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</xdr:row>
          <xdr:rowOff>12700</xdr:rowOff>
        </xdr:from>
        <xdr:to>
          <xdr:col>0</xdr:col>
          <xdr:colOff>368300</xdr:colOff>
          <xdr:row>15</xdr:row>
          <xdr:rowOff>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</xdr:row>
          <xdr:rowOff>12700</xdr:rowOff>
        </xdr:from>
        <xdr:to>
          <xdr:col>0</xdr:col>
          <xdr:colOff>368300</xdr:colOff>
          <xdr:row>15</xdr:row>
          <xdr:rowOff>189254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</xdr:row>
          <xdr:rowOff>0</xdr:rowOff>
        </xdr:from>
        <xdr:to>
          <xdr:col>0</xdr:col>
          <xdr:colOff>368300</xdr:colOff>
          <xdr:row>16</xdr:row>
          <xdr:rowOff>176555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</xdr:row>
          <xdr:rowOff>12700</xdr:rowOff>
        </xdr:from>
        <xdr:to>
          <xdr:col>0</xdr:col>
          <xdr:colOff>368300</xdr:colOff>
          <xdr:row>16</xdr:row>
          <xdr:rowOff>189255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12700</xdr:rowOff>
        </xdr:from>
        <xdr:to>
          <xdr:col>0</xdr:col>
          <xdr:colOff>368300</xdr:colOff>
          <xdr:row>18</xdr:row>
          <xdr:rowOff>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</xdr:row>
          <xdr:rowOff>12700</xdr:rowOff>
        </xdr:from>
        <xdr:to>
          <xdr:col>0</xdr:col>
          <xdr:colOff>368300</xdr:colOff>
          <xdr:row>18</xdr:row>
          <xdr:rowOff>192767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12700</xdr:rowOff>
        </xdr:from>
        <xdr:to>
          <xdr:col>0</xdr:col>
          <xdr:colOff>368300</xdr:colOff>
          <xdr:row>20</xdr:row>
          <xdr:rowOff>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</xdr:row>
          <xdr:rowOff>12700</xdr:rowOff>
        </xdr:from>
        <xdr:to>
          <xdr:col>0</xdr:col>
          <xdr:colOff>368300</xdr:colOff>
          <xdr:row>21</xdr:row>
          <xdr:rowOff>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154</xdr:row>
          <xdr:rowOff>12700</xdr:rowOff>
        </xdr:from>
        <xdr:to>
          <xdr:col>0</xdr:col>
          <xdr:colOff>368300</xdr:colOff>
          <xdr:row>154</xdr:row>
          <xdr:rowOff>189255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155</xdr:row>
          <xdr:rowOff>12700</xdr:rowOff>
        </xdr:from>
        <xdr:to>
          <xdr:col>0</xdr:col>
          <xdr:colOff>368300</xdr:colOff>
          <xdr:row>156</xdr:row>
          <xdr:rowOff>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156</xdr:row>
          <xdr:rowOff>12700</xdr:rowOff>
        </xdr:from>
        <xdr:to>
          <xdr:col>0</xdr:col>
          <xdr:colOff>368300</xdr:colOff>
          <xdr:row>157</xdr:row>
          <xdr:rowOff>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21</xdr:row>
          <xdr:rowOff>12700</xdr:rowOff>
        </xdr:from>
        <xdr:to>
          <xdr:col>0</xdr:col>
          <xdr:colOff>368300</xdr:colOff>
          <xdr:row>22</xdr:row>
          <xdr:rowOff>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22</xdr:row>
          <xdr:rowOff>12700</xdr:rowOff>
        </xdr:from>
        <xdr:to>
          <xdr:col>0</xdr:col>
          <xdr:colOff>368300</xdr:colOff>
          <xdr:row>23</xdr:row>
          <xdr:rowOff>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23</xdr:row>
          <xdr:rowOff>0</xdr:rowOff>
        </xdr:from>
        <xdr:to>
          <xdr:col>0</xdr:col>
          <xdr:colOff>368300</xdr:colOff>
          <xdr:row>23</xdr:row>
          <xdr:rowOff>177800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23</xdr:row>
          <xdr:rowOff>12700</xdr:rowOff>
        </xdr:from>
        <xdr:to>
          <xdr:col>0</xdr:col>
          <xdr:colOff>368300</xdr:colOff>
          <xdr:row>23</xdr:row>
          <xdr:rowOff>189254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24</xdr:row>
          <xdr:rowOff>12700</xdr:rowOff>
        </xdr:from>
        <xdr:to>
          <xdr:col>0</xdr:col>
          <xdr:colOff>368300</xdr:colOff>
          <xdr:row>24</xdr:row>
          <xdr:rowOff>189255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25</xdr:row>
          <xdr:rowOff>12700</xdr:rowOff>
        </xdr:from>
        <xdr:to>
          <xdr:col>0</xdr:col>
          <xdr:colOff>368300</xdr:colOff>
          <xdr:row>25</xdr:row>
          <xdr:rowOff>189255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157</xdr:row>
          <xdr:rowOff>12700</xdr:rowOff>
        </xdr:from>
        <xdr:to>
          <xdr:col>0</xdr:col>
          <xdr:colOff>368300</xdr:colOff>
          <xdr:row>158</xdr:row>
          <xdr:rowOff>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26</xdr:row>
          <xdr:rowOff>0</xdr:rowOff>
        </xdr:from>
        <xdr:to>
          <xdr:col>0</xdr:col>
          <xdr:colOff>368300</xdr:colOff>
          <xdr:row>26</xdr:row>
          <xdr:rowOff>177800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26</xdr:row>
          <xdr:rowOff>12700</xdr:rowOff>
        </xdr:from>
        <xdr:to>
          <xdr:col>0</xdr:col>
          <xdr:colOff>368300</xdr:colOff>
          <xdr:row>27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27</xdr:row>
          <xdr:rowOff>12700</xdr:rowOff>
        </xdr:from>
        <xdr:to>
          <xdr:col>0</xdr:col>
          <xdr:colOff>368300</xdr:colOff>
          <xdr:row>28</xdr:row>
          <xdr:rowOff>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28</xdr:row>
          <xdr:rowOff>12700</xdr:rowOff>
        </xdr:from>
        <xdr:to>
          <xdr:col>0</xdr:col>
          <xdr:colOff>368300</xdr:colOff>
          <xdr:row>29</xdr:row>
          <xdr:rowOff>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29</xdr:row>
          <xdr:rowOff>12700</xdr:rowOff>
        </xdr:from>
        <xdr:to>
          <xdr:col>0</xdr:col>
          <xdr:colOff>368300</xdr:colOff>
          <xdr:row>30</xdr:row>
          <xdr:rowOff>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30</xdr:row>
          <xdr:rowOff>0</xdr:rowOff>
        </xdr:from>
        <xdr:to>
          <xdr:col>0</xdr:col>
          <xdr:colOff>368300</xdr:colOff>
          <xdr:row>30</xdr:row>
          <xdr:rowOff>177800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30</xdr:row>
          <xdr:rowOff>12700</xdr:rowOff>
        </xdr:from>
        <xdr:to>
          <xdr:col>0</xdr:col>
          <xdr:colOff>368300</xdr:colOff>
          <xdr:row>31</xdr:row>
          <xdr:rowOff>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31</xdr:row>
          <xdr:rowOff>12700</xdr:rowOff>
        </xdr:from>
        <xdr:to>
          <xdr:col>0</xdr:col>
          <xdr:colOff>368300</xdr:colOff>
          <xdr:row>31</xdr:row>
          <xdr:rowOff>189254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32</xdr:row>
          <xdr:rowOff>12700</xdr:rowOff>
        </xdr:from>
        <xdr:to>
          <xdr:col>0</xdr:col>
          <xdr:colOff>368300</xdr:colOff>
          <xdr:row>32</xdr:row>
          <xdr:rowOff>189255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33</xdr:row>
          <xdr:rowOff>12700</xdr:rowOff>
        </xdr:from>
        <xdr:to>
          <xdr:col>0</xdr:col>
          <xdr:colOff>368300</xdr:colOff>
          <xdr:row>33</xdr:row>
          <xdr:rowOff>189255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158</xdr:row>
          <xdr:rowOff>12700</xdr:rowOff>
        </xdr:from>
        <xdr:to>
          <xdr:col>0</xdr:col>
          <xdr:colOff>368300</xdr:colOff>
          <xdr:row>158</xdr:row>
          <xdr:rowOff>192767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34</xdr:row>
          <xdr:rowOff>12700</xdr:rowOff>
        </xdr:from>
        <xdr:to>
          <xdr:col>0</xdr:col>
          <xdr:colOff>368300</xdr:colOff>
          <xdr:row>35</xdr:row>
          <xdr:rowOff>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35</xdr:row>
          <xdr:rowOff>12700</xdr:rowOff>
        </xdr:from>
        <xdr:to>
          <xdr:col>0</xdr:col>
          <xdr:colOff>368300</xdr:colOff>
          <xdr:row>36</xdr:row>
          <xdr:rowOff>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36</xdr:row>
          <xdr:rowOff>12700</xdr:rowOff>
        </xdr:from>
        <xdr:to>
          <xdr:col>0</xdr:col>
          <xdr:colOff>368300</xdr:colOff>
          <xdr:row>37</xdr:row>
          <xdr:rowOff>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37</xdr:row>
          <xdr:rowOff>12700</xdr:rowOff>
        </xdr:from>
        <xdr:to>
          <xdr:col>0</xdr:col>
          <xdr:colOff>368300</xdr:colOff>
          <xdr:row>38</xdr:row>
          <xdr:rowOff>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142</xdr:row>
          <xdr:rowOff>12700</xdr:rowOff>
        </xdr:from>
        <xdr:to>
          <xdr:col>0</xdr:col>
          <xdr:colOff>368300</xdr:colOff>
          <xdr:row>143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38</xdr:row>
          <xdr:rowOff>12700</xdr:rowOff>
        </xdr:from>
        <xdr:to>
          <xdr:col>0</xdr:col>
          <xdr:colOff>368300</xdr:colOff>
          <xdr:row>39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39</xdr:row>
          <xdr:rowOff>12700</xdr:rowOff>
        </xdr:from>
        <xdr:to>
          <xdr:col>0</xdr:col>
          <xdr:colOff>368300</xdr:colOff>
          <xdr:row>39</xdr:row>
          <xdr:rowOff>192767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40</xdr:row>
          <xdr:rowOff>12700</xdr:rowOff>
        </xdr:from>
        <xdr:to>
          <xdr:col>0</xdr:col>
          <xdr:colOff>368300</xdr:colOff>
          <xdr:row>41</xdr:row>
          <xdr:rowOff>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41</xdr:row>
          <xdr:rowOff>12700</xdr:rowOff>
        </xdr:from>
        <xdr:to>
          <xdr:col>0</xdr:col>
          <xdr:colOff>368300</xdr:colOff>
          <xdr:row>41</xdr:row>
          <xdr:rowOff>189254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176555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42</xdr:row>
          <xdr:rowOff>12700</xdr:rowOff>
        </xdr:from>
        <xdr:to>
          <xdr:col>0</xdr:col>
          <xdr:colOff>368300</xdr:colOff>
          <xdr:row>42</xdr:row>
          <xdr:rowOff>189255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43</xdr:row>
          <xdr:rowOff>12700</xdr:rowOff>
        </xdr:from>
        <xdr:to>
          <xdr:col>0</xdr:col>
          <xdr:colOff>368300</xdr:colOff>
          <xdr:row>44</xdr:row>
          <xdr:rowOff>0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44</xdr:row>
          <xdr:rowOff>12700</xdr:rowOff>
        </xdr:from>
        <xdr:to>
          <xdr:col>0</xdr:col>
          <xdr:colOff>368300</xdr:colOff>
          <xdr:row>45</xdr:row>
          <xdr:rowOff>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12700</xdr:rowOff>
        </xdr:from>
        <xdr:to>
          <xdr:col>0</xdr:col>
          <xdr:colOff>368300</xdr:colOff>
          <xdr:row>46</xdr:row>
          <xdr:rowOff>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159</xdr:row>
          <xdr:rowOff>12700</xdr:rowOff>
        </xdr:from>
        <xdr:to>
          <xdr:col>0</xdr:col>
          <xdr:colOff>368300</xdr:colOff>
          <xdr:row>160</xdr:row>
          <xdr:rowOff>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182</xdr:row>
          <xdr:rowOff>12700</xdr:rowOff>
        </xdr:from>
        <xdr:to>
          <xdr:col>0</xdr:col>
          <xdr:colOff>368300</xdr:colOff>
          <xdr:row>183</xdr:row>
          <xdr:rowOff>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183</xdr:row>
          <xdr:rowOff>12700</xdr:rowOff>
        </xdr:from>
        <xdr:to>
          <xdr:col>0</xdr:col>
          <xdr:colOff>368300</xdr:colOff>
          <xdr:row>184</xdr:row>
          <xdr:rowOff>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184</xdr:row>
          <xdr:rowOff>12700</xdr:rowOff>
        </xdr:from>
        <xdr:to>
          <xdr:col>0</xdr:col>
          <xdr:colOff>368300</xdr:colOff>
          <xdr:row>185</xdr:row>
          <xdr:rowOff>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46</xdr:row>
          <xdr:rowOff>12700</xdr:rowOff>
        </xdr:from>
        <xdr:to>
          <xdr:col>0</xdr:col>
          <xdr:colOff>368300</xdr:colOff>
          <xdr:row>46</xdr:row>
          <xdr:rowOff>189254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47</xdr:row>
          <xdr:rowOff>12700</xdr:rowOff>
        </xdr:from>
        <xdr:to>
          <xdr:col>0</xdr:col>
          <xdr:colOff>368300</xdr:colOff>
          <xdr:row>47</xdr:row>
          <xdr:rowOff>189255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48</xdr:row>
          <xdr:rowOff>12700</xdr:rowOff>
        </xdr:from>
        <xdr:to>
          <xdr:col>0</xdr:col>
          <xdr:colOff>368300</xdr:colOff>
          <xdr:row>48</xdr:row>
          <xdr:rowOff>189255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160</xdr:row>
          <xdr:rowOff>12700</xdr:rowOff>
        </xdr:from>
        <xdr:to>
          <xdr:col>0</xdr:col>
          <xdr:colOff>368300</xdr:colOff>
          <xdr:row>161</xdr:row>
          <xdr:rowOff>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185</xdr:row>
          <xdr:rowOff>12700</xdr:rowOff>
        </xdr:from>
        <xdr:to>
          <xdr:col>0</xdr:col>
          <xdr:colOff>368300</xdr:colOff>
          <xdr:row>185</xdr:row>
          <xdr:rowOff>189254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49</xdr:row>
          <xdr:rowOff>12700</xdr:rowOff>
        </xdr:from>
        <xdr:to>
          <xdr:col>0</xdr:col>
          <xdr:colOff>368300</xdr:colOff>
          <xdr:row>50</xdr:row>
          <xdr:rowOff>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50</xdr:row>
          <xdr:rowOff>12700</xdr:rowOff>
        </xdr:from>
        <xdr:to>
          <xdr:col>0</xdr:col>
          <xdr:colOff>368300</xdr:colOff>
          <xdr:row>51</xdr:row>
          <xdr:rowOff>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51</xdr:row>
          <xdr:rowOff>12700</xdr:rowOff>
        </xdr:from>
        <xdr:to>
          <xdr:col>0</xdr:col>
          <xdr:colOff>368300</xdr:colOff>
          <xdr:row>52</xdr:row>
          <xdr:rowOff>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52</xdr:row>
          <xdr:rowOff>12700</xdr:rowOff>
        </xdr:from>
        <xdr:to>
          <xdr:col>0</xdr:col>
          <xdr:colOff>368300</xdr:colOff>
          <xdr:row>53</xdr:row>
          <xdr:rowOff>0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53</xdr:row>
          <xdr:rowOff>12700</xdr:rowOff>
        </xdr:from>
        <xdr:to>
          <xdr:col>0</xdr:col>
          <xdr:colOff>368300</xdr:colOff>
          <xdr:row>53</xdr:row>
          <xdr:rowOff>192767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54</xdr:row>
          <xdr:rowOff>12700</xdr:rowOff>
        </xdr:from>
        <xdr:to>
          <xdr:col>0</xdr:col>
          <xdr:colOff>368300</xdr:colOff>
          <xdr:row>55</xdr:row>
          <xdr:rowOff>0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55</xdr:row>
          <xdr:rowOff>12700</xdr:rowOff>
        </xdr:from>
        <xdr:to>
          <xdr:col>0</xdr:col>
          <xdr:colOff>368300</xdr:colOff>
          <xdr:row>55</xdr:row>
          <xdr:rowOff>189254</xdr:rowOff>
        </xdr:to>
        <xdr:sp macro="" textlink="">
          <xdr:nvSpPr>
            <xdr:cNvPr id="3172" name="Check Box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56</xdr:row>
          <xdr:rowOff>12700</xdr:rowOff>
        </xdr:from>
        <xdr:to>
          <xdr:col>0</xdr:col>
          <xdr:colOff>368300</xdr:colOff>
          <xdr:row>56</xdr:row>
          <xdr:rowOff>189255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57</xdr:row>
          <xdr:rowOff>12700</xdr:rowOff>
        </xdr:from>
        <xdr:to>
          <xdr:col>0</xdr:col>
          <xdr:colOff>368300</xdr:colOff>
          <xdr:row>57</xdr:row>
          <xdr:rowOff>189255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58</xdr:row>
          <xdr:rowOff>12700</xdr:rowOff>
        </xdr:from>
        <xdr:to>
          <xdr:col>0</xdr:col>
          <xdr:colOff>368300</xdr:colOff>
          <xdr:row>59</xdr:row>
          <xdr:rowOff>0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59</xdr:row>
          <xdr:rowOff>12700</xdr:rowOff>
        </xdr:from>
        <xdr:to>
          <xdr:col>0</xdr:col>
          <xdr:colOff>368300</xdr:colOff>
          <xdr:row>60</xdr:row>
          <xdr:rowOff>0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60</xdr:row>
          <xdr:rowOff>12700</xdr:rowOff>
        </xdr:from>
        <xdr:to>
          <xdr:col>0</xdr:col>
          <xdr:colOff>368300</xdr:colOff>
          <xdr:row>60</xdr:row>
          <xdr:rowOff>192767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61</xdr:row>
          <xdr:rowOff>12700</xdr:rowOff>
        </xdr:from>
        <xdr:to>
          <xdr:col>0</xdr:col>
          <xdr:colOff>368300</xdr:colOff>
          <xdr:row>62</xdr:row>
          <xdr:rowOff>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62</xdr:row>
          <xdr:rowOff>12700</xdr:rowOff>
        </xdr:from>
        <xdr:to>
          <xdr:col>0</xdr:col>
          <xdr:colOff>368300</xdr:colOff>
          <xdr:row>63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63</xdr:row>
          <xdr:rowOff>12700</xdr:rowOff>
        </xdr:from>
        <xdr:to>
          <xdr:col>0</xdr:col>
          <xdr:colOff>368300</xdr:colOff>
          <xdr:row>64</xdr:row>
          <xdr:rowOff>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64</xdr:row>
          <xdr:rowOff>12700</xdr:rowOff>
        </xdr:from>
        <xdr:to>
          <xdr:col>0</xdr:col>
          <xdr:colOff>368300</xdr:colOff>
          <xdr:row>65</xdr:row>
          <xdr:rowOff>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65</xdr:row>
          <xdr:rowOff>12700</xdr:rowOff>
        </xdr:from>
        <xdr:to>
          <xdr:col>0</xdr:col>
          <xdr:colOff>368300</xdr:colOff>
          <xdr:row>65</xdr:row>
          <xdr:rowOff>189254</xdr:rowOff>
        </xdr:to>
        <xdr:sp macro="" textlink="">
          <xdr:nvSpPr>
            <xdr:cNvPr id="3182" name="Check Box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66</xdr:row>
          <xdr:rowOff>12700</xdr:rowOff>
        </xdr:from>
        <xdr:to>
          <xdr:col>0</xdr:col>
          <xdr:colOff>368300</xdr:colOff>
          <xdr:row>66</xdr:row>
          <xdr:rowOff>189255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67</xdr:row>
          <xdr:rowOff>12700</xdr:rowOff>
        </xdr:from>
        <xdr:to>
          <xdr:col>0</xdr:col>
          <xdr:colOff>368300</xdr:colOff>
          <xdr:row>67</xdr:row>
          <xdr:rowOff>189255</xdr:rowOff>
        </xdr:to>
        <xdr:sp macro="" textlink="">
          <xdr:nvSpPr>
            <xdr:cNvPr id="3184" name="Check Box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143</xdr:row>
          <xdr:rowOff>12700</xdr:rowOff>
        </xdr:from>
        <xdr:to>
          <xdr:col>0</xdr:col>
          <xdr:colOff>368300</xdr:colOff>
          <xdr:row>144</xdr:row>
          <xdr:rowOff>0</xdr:rowOff>
        </xdr:to>
        <xdr:sp macro="" textlink="">
          <xdr:nvSpPr>
            <xdr:cNvPr id="3185" name="Check Box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68</xdr:row>
          <xdr:rowOff>12700</xdr:rowOff>
        </xdr:from>
        <xdr:to>
          <xdr:col>0</xdr:col>
          <xdr:colOff>368300</xdr:colOff>
          <xdr:row>69</xdr:row>
          <xdr:rowOff>0</xdr:rowOff>
        </xdr:to>
        <xdr:sp macro="" textlink="">
          <xdr:nvSpPr>
            <xdr:cNvPr id="3186" name="Check Box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144</xdr:row>
          <xdr:rowOff>12700</xdr:rowOff>
        </xdr:from>
        <xdr:to>
          <xdr:col>0</xdr:col>
          <xdr:colOff>368300</xdr:colOff>
          <xdr:row>144</xdr:row>
          <xdr:rowOff>189254</xdr:rowOff>
        </xdr:to>
        <xdr:sp macro="" textlink="">
          <xdr:nvSpPr>
            <xdr:cNvPr id="3187" name="Check Box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69</xdr:row>
          <xdr:rowOff>12700</xdr:rowOff>
        </xdr:from>
        <xdr:to>
          <xdr:col>0</xdr:col>
          <xdr:colOff>368300</xdr:colOff>
          <xdr:row>70</xdr:row>
          <xdr:rowOff>0</xdr:rowOff>
        </xdr:to>
        <xdr:sp macro="" textlink="">
          <xdr:nvSpPr>
            <xdr:cNvPr id="3188" name="Check Box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70</xdr:row>
          <xdr:rowOff>12700</xdr:rowOff>
        </xdr:from>
        <xdr:to>
          <xdr:col>0</xdr:col>
          <xdr:colOff>368300</xdr:colOff>
          <xdr:row>71</xdr:row>
          <xdr:rowOff>0</xdr:rowOff>
        </xdr:to>
        <xdr:sp macro="" textlink="">
          <xdr:nvSpPr>
            <xdr:cNvPr id="3189" name="Check Box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161</xdr:row>
          <xdr:rowOff>12700</xdr:rowOff>
        </xdr:from>
        <xdr:to>
          <xdr:col>0</xdr:col>
          <xdr:colOff>368300</xdr:colOff>
          <xdr:row>162</xdr:row>
          <xdr:rowOff>0</xdr:rowOff>
        </xdr:to>
        <xdr:sp macro="" textlink="">
          <xdr:nvSpPr>
            <xdr:cNvPr id="3190" name="Check Box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162</xdr:row>
          <xdr:rowOff>12700</xdr:rowOff>
        </xdr:from>
        <xdr:to>
          <xdr:col>0</xdr:col>
          <xdr:colOff>368300</xdr:colOff>
          <xdr:row>162</xdr:row>
          <xdr:rowOff>189254</xdr:rowOff>
        </xdr:to>
        <xdr:sp macro="" textlink="">
          <xdr:nvSpPr>
            <xdr:cNvPr id="3191" name="Check Box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163</xdr:row>
          <xdr:rowOff>12700</xdr:rowOff>
        </xdr:from>
        <xdr:to>
          <xdr:col>0</xdr:col>
          <xdr:colOff>368300</xdr:colOff>
          <xdr:row>163</xdr:row>
          <xdr:rowOff>189255</xdr:rowOff>
        </xdr:to>
        <xdr:sp macro="" textlink="">
          <xdr:nvSpPr>
            <xdr:cNvPr id="3192" name="Check Box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176555</xdr:rowOff>
        </xdr:to>
        <xdr:sp macro="" textlink="">
          <xdr:nvSpPr>
            <xdr:cNvPr id="3193" name="Check Box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145</xdr:row>
          <xdr:rowOff>12700</xdr:rowOff>
        </xdr:from>
        <xdr:to>
          <xdr:col>0</xdr:col>
          <xdr:colOff>368300</xdr:colOff>
          <xdr:row>145</xdr:row>
          <xdr:rowOff>189255</xdr:rowOff>
        </xdr:to>
        <xdr:sp macro="" textlink="">
          <xdr:nvSpPr>
            <xdr:cNvPr id="3194" name="Check Box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71</xdr:row>
          <xdr:rowOff>12700</xdr:rowOff>
        </xdr:from>
        <xdr:to>
          <xdr:col>0</xdr:col>
          <xdr:colOff>368300</xdr:colOff>
          <xdr:row>72</xdr:row>
          <xdr:rowOff>0</xdr:rowOff>
        </xdr:to>
        <xdr:sp macro="" textlink="">
          <xdr:nvSpPr>
            <xdr:cNvPr id="3195" name="Check Box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72</xdr:row>
          <xdr:rowOff>12700</xdr:rowOff>
        </xdr:from>
        <xdr:to>
          <xdr:col>0</xdr:col>
          <xdr:colOff>368300</xdr:colOff>
          <xdr:row>73</xdr:row>
          <xdr:rowOff>0</xdr:rowOff>
        </xdr:to>
        <xdr:sp macro="" textlink="">
          <xdr:nvSpPr>
            <xdr:cNvPr id="3196" name="Check Box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73</xdr:row>
          <xdr:rowOff>12700</xdr:rowOff>
        </xdr:from>
        <xdr:to>
          <xdr:col>0</xdr:col>
          <xdr:colOff>368300</xdr:colOff>
          <xdr:row>74</xdr:row>
          <xdr:rowOff>0</xdr:rowOff>
        </xdr:to>
        <xdr:sp macro="" textlink="">
          <xdr:nvSpPr>
            <xdr:cNvPr id="3197" name="Check Box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74</xdr:row>
          <xdr:rowOff>12700</xdr:rowOff>
        </xdr:from>
        <xdr:to>
          <xdr:col>0</xdr:col>
          <xdr:colOff>368300</xdr:colOff>
          <xdr:row>74</xdr:row>
          <xdr:rowOff>192767</xdr:rowOff>
        </xdr:to>
        <xdr:sp macro="" textlink="">
          <xdr:nvSpPr>
            <xdr:cNvPr id="3198" name="Check Box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75</xdr:row>
          <xdr:rowOff>12700</xdr:rowOff>
        </xdr:from>
        <xdr:to>
          <xdr:col>0</xdr:col>
          <xdr:colOff>368300</xdr:colOff>
          <xdr:row>75</xdr:row>
          <xdr:rowOff>189254</xdr:rowOff>
        </xdr:to>
        <xdr:sp macro="" textlink="">
          <xdr:nvSpPr>
            <xdr:cNvPr id="3199" name="Check Box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76</xdr:row>
          <xdr:rowOff>12700</xdr:rowOff>
        </xdr:from>
        <xdr:to>
          <xdr:col>0</xdr:col>
          <xdr:colOff>368300</xdr:colOff>
          <xdr:row>76</xdr:row>
          <xdr:rowOff>189255</xdr:rowOff>
        </xdr:to>
        <xdr:sp macro="" textlink="">
          <xdr:nvSpPr>
            <xdr:cNvPr id="3200" name="Check Box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77</xdr:row>
          <xdr:rowOff>12700</xdr:rowOff>
        </xdr:from>
        <xdr:to>
          <xdr:col>0</xdr:col>
          <xdr:colOff>368300</xdr:colOff>
          <xdr:row>77</xdr:row>
          <xdr:rowOff>189255</xdr:rowOff>
        </xdr:to>
        <xdr:sp macro="" textlink="">
          <xdr:nvSpPr>
            <xdr:cNvPr id="3201" name="Check Box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78</xdr:row>
          <xdr:rowOff>12700</xdr:rowOff>
        </xdr:from>
        <xdr:to>
          <xdr:col>0</xdr:col>
          <xdr:colOff>368300</xdr:colOff>
          <xdr:row>79</xdr:row>
          <xdr:rowOff>0</xdr:rowOff>
        </xdr:to>
        <xdr:sp macro="" textlink="">
          <xdr:nvSpPr>
            <xdr:cNvPr id="3202" name="Check Box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79</xdr:row>
          <xdr:rowOff>12700</xdr:rowOff>
        </xdr:from>
        <xdr:to>
          <xdr:col>0</xdr:col>
          <xdr:colOff>368300</xdr:colOff>
          <xdr:row>80</xdr:row>
          <xdr:rowOff>0</xdr:rowOff>
        </xdr:to>
        <xdr:sp macro="" textlink="">
          <xdr:nvSpPr>
            <xdr:cNvPr id="3203" name="Check Box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80</xdr:row>
          <xdr:rowOff>12700</xdr:rowOff>
        </xdr:from>
        <xdr:to>
          <xdr:col>0</xdr:col>
          <xdr:colOff>368300</xdr:colOff>
          <xdr:row>81</xdr:row>
          <xdr:rowOff>0</xdr:rowOff>
        </xdr:to>
        <xdr:sp macro="" textlink="">
          <xdr:nvSpPr>
            <xdr:cNvPr id="3204" name="Check Box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81</xdr:row>
          <xdr:rowOff>12700</xdr:rowOff>
        </xdr:from>
        <xdr:to>
          <xdr:col>0</xdr:col>
          <xdr:colOff>368300</xdr:colOff>
          <xdr:row>81</xdr:row>
          <xdr:rowOff>192767</xdr:rowOff>
        </xdr:to>
        <xdr:sp macro="" textlink="">
          <xdr:nvSpPr>
            <xdr:cNvPr id="3205" name="Check Box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82</xdr:row>
          <xdr:rowOff>12700</xdr:rowOff>
        </xdr:from>
        <xdr:to>
          <xdr:col>0</xdr:col>
          <xdr:colOff>368300</xdr:colOff>
          <xdr:row>83</xdr:row>
          <xdr:rowOff>0</xdr:rowOff>
        </xdr:to>
        <xdr:sp macro="" textlink="">
          <xdr:nvSpPr>
            <xdr:cNvPr id="3206" name="Check Box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83</xdr:row>
          <xdr:rowOff>12700</xdr:rowOff>
        </xdr:from>
        <xdr:to>
          <xdr:col>0</xdr:col>
          <xdr:colOff>368300</xdr:colOff>
          <xdr:row>84</xdr:row>
          <xdr:rowOff>0</xdr:rowOff>
        </xdr:to>
        <xdr:sp macro="" textlink="">
          <xdr:nvSpPr>
            <xdr:cNvPr id="3207" name="Check Box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84</xdr:row>
          <xdr:rowOff>12700</xdr:rowOff>
        </xdr:from>
        <xdr:to>
          <xdr:col>0</xdr:col>
          <xdr:colOff>368300</xdr:colOff>
          <xdr:row>85</xdr:row>
          <xdr:rowOff>0</xdr:rowOff>
        </xdr:to>
        <xdr:sp macro="" textlink="">
          <xdr:nvSpPr>
            <xdr:cNvPr id="3208" name="Check Box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86</xdr:row>
          <xdr:rowOff>12700</xdr:rowOff>
        </xdr:from>
        <xdr:to>
          <xdr:col>0</xdr:col>
          <xdr:colOff>368300</xdr:colOff>
          <xdr:row>86</xdr:row>
          <xdr:rowOff>189254</xdr:rowOff>
        </xdr:to>
        <xdr:sp macro="" textlink="">
          <xdr:nvSpPr>
            <xdr:cNvPr id="3209" name="Check Box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85</xdr:row>
          <xdr:rowOff>12700</xdr:rowOff>
        </xdr:from>
        <xdr:to>
          <xdr:col>0</xdr:col>
          <xdr:colOff>368300</xdr:colOff>
          <xdr:row>85</xdr:row>
          <xdr:rowOff>189255</xdr:rowOff>
        </xdr:to>
        <xdr:sp macro="" textlink="">
          <xdr:nvSpPr>
            <xdr:cNvPr id="3210" name="Check Box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87</xdr:row>
          <xdr:rowOff>12700</xdr:rowOff>
        </xdr:from>
        <xdr:to>
          <xdr:col>0</xdr:col>
          <xdr:colOff>368300</xdr:colOff>
          <xdr:row>87</xdr:row>
          <xdr:rowOff>189255</xdr:rowOff>
        </xdr:to>
        <xdr:sp macro="" textlink="">
          <xdr:nvSpPr>
            <xdr:cNvPr id="3211" name="Check Box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88</xdr:row>
          <xdr:rowOff>12700</xdr:rowOff>
        </xdr:from>
        <xdr:to>
          <xdr:col>0</xdr:col>
          <xdr:colOff>368300</xdr:colOff>
          <xdr:row>88</xdr:row>
          <xdr:rowOff>192767</xdr:rowOff>
        </xdr:to>
        <xdr:sp macro="" textlink="">
          <xdr:nvSpPr>
            <xdr:cNvPr id="3212" name="Check Box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146</xdr:row>
          <xdr:rowOff>12700</xdr:rowOff>
        </xdr:from>
        <xdr:to>
          <xdr:col>0</xdr:col>
          <xdr:colOff>368300</xdr:colOff>
          <xdr:row>146</xdr:row>
          <xdr:rowOff>189255</xdr:rowOff>
        </xdr:to>
        <xdr:sp macro="" textlink="">
          <xdr:nvSpPr>
            <xdr:cNvPr id="3213" name="Check Box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89</xdr:row>
          <xdr:rowOff>12700</xdr:rowOff>
        </xdr:from>
        <xdr:to>
          <xdr:col>0</xdr:col>
          <xdr:colOff>368300</xdr:colOff>
          <xdr:row>90</xdr:row>
          <xdr:rowOff>0</xdr:rowOff>
        </xdr:to>
        <xdr:sp macro="" textlink="">
          <xdr:nvSpPr>
            <xdr:cNvPr id="3214" name="Check Box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164</xdr:row>
          <xdr:rowOff>12700</xdr:rowOff>
        </xdr:from>
        <xdr:to>
          <xdr:col>0</xdr:col>
          <xdr:colOff>368300</xdr:colOff>
          <xdr:row>165</xdr:row>
          <xdr:rowOff>0</xdr:rowOff>
        </xdr:to>
        <xdr:sp macro="" textlink="">
          <xdr:nvSpPr>
            <xdr:cNvPr id="3215" name="Check Box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90</xdr:row>
          <xdr:rowOff>12700</xdr:rowOff>
        </xdr:from>
        <xdr:to>
          <xdr:col>0</xdr:col>
          <xdr:colOff>368300</xdr:colOff>
          <xdr:row>91</xdr:row>
          <xdr:rowOff>0</xdr:rowOff>
        </xdr:to>
        <xdr:sp macro="" textlink="">
          <xdr:nvSpPr>
            <xdr:cNvPr id="3216" name="Check Box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91</xdr:row>
          <xdr:rowOff>12700</xdr:rowOff>
        </xdr:from>
        <xdr:to>
          <xdr:col>0</xdr:col>
          <xdr:colOff>368300</xdr:colOff>
          <xdr:row>92</xdr:row>
          <xdr:rowOff>0</xdr:rowOff>
        </xdr:to>
        <xdr:sp macro="" textlink="">
          <xdr:nvSpPr>
            <xdr:cNvPr id="3217" name="Check Box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92</xdr:row>
          <xdr:rowOff>12700</xdr:rowOff>
        </xdr:from>
        <xdr:to>
          <xdr:col>0</xdr:col>
          <xdr:colOff>368300</xdr:colOff>
          <xdr:row>93</xdr:row>
          <xdr:rowOff>0</xdr:rowOff>
        </xdr:to>
        <xdr:sp macro="" textlink="">
          <xdr:nvSpPr>
            <xdr:cNvPr id="3218" name="Check Box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165</xdr:row>
          <xdr:rowOff>12700</xdr:rowOff>
        </xdr:from>
        <xdr:to>
          <xdr:col>0</xdr:col>
          <xdr:colOff>368300</xdr:colOff>
          <xdr:row>165</xdr:row>
          <xdr:rowOff>192767</xdr:rowOff>
        </xdr:to>
        <xdr:sp macro="" textlink="">
          <xdr:nvSpPr>
            <xdr:cNvPr id="3219" name="Check Box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93</xdr:row>
          <xdr:rowOff>12700</xdr:rowOff>
        </xdr:from>
        <xdr:to>
          <xdr:col>0</xdr:col>
          <xdr:colOff>368300</xdr:colOff>
          <xdr:row>94</xdr:row>
          <xdr:rowOff>0</xdr:rowOff>
        </xdr:to>
        <xdr:sp macro="" textlink="">
          <xdr:nvSpPr>
            <xdr:cNvPr id="3220" name="Check Box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221" name="Check Box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94</xdr:row>
          <xdr:rowOff>12700</xdr:rowOff>
        </xdr:from>
        <xdr:to>
          <xdr:col>0</xdr:col>
          <xdr:colOff>368300</xdr:colOff>
          <xdr:row>95</xdr:row>
          <xdr:rowOff>0</xdr:rowOff>
        </xdr:to>
        <xdr:sp macro="" textlink="">
          <xdr:nvSpPr>
            <xdr:cNvPr id="3222" name="Check Box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95</xdr:row>
          <xdr:rowOff>12700</xdr:rowOff>
        </xdr:from>
        <xdr:to>
          <xdr:col>0</xdr:col>
          <xdr:colOff>368300</xdr:colOff>
          <xdr:row>95</xdr:row>
          <xdr:rowOff>189254</xdr:rowOff>
        </xdr:to>
        <xdr:sp macro="" textlink="">
          <xdr:nvSpPr>
            <xdr:cNvPr id="3223" name="Check Box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96</xdr:row>
          <xdr:rowOff>12700</xdr:rowOff>
        </xdr:from>
        <xdr:to>
          <xdr:col>0</xdr:col>
          <xdr:colOff>368300</xdr:colOff>
          <xdr:row>96</xdr:row>
          <xdr:rowOff>189255</xdr:rowOff>
        </xdr:to>
        <xdr:sp macro="" textlink="">
          <xdr:nvSpPr>
            <xdr:cNvPr id="3224" name="Check Box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97</xdr:row>
          <xdr:rowOff>12700</xdr:rowOff>
        </xdr:from>
        <xdr:to>
          <xdr:col>0</xdr:col>
          <xdr:colOff>368300</xdr:colOff>
          <xdr:row>97</xdr:row>
          <xdr:rowOff>189255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98</xdr:row>
          <xdr:rowOff>12700</xdr:rowOff>
        </xdr:from>
        <xdr:to>
          <xdr:col>0</xdr:col>
          <xdr:colOff>368300</xdr:colOff>
          <xdr:row>99</xdr:row>
          <xdr:rowOff>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99</xdr:row>
          <xdr:rowOff>12700</xdr:rowOff>
        </xdr:from>
        <xdr:to>
          <xdr:col>0</xdr:col>
          <xdr:colOff>368300</xdr:colOff>
          <xdr:row>100</xdr:row>
          <xdr:rowOff>0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100</xdr:row>
          <xdr:rowOff>12700</xdr:rowOff>
        </xdr:from>
        <xdr:to>
          <xdr:col>0</xdr:col>
          <xdr:colOff>368300</xdr:colOff>
          <xdr:row>101</xdr:row>
          <xdr:rowOff>0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101</xdr:row>
          <xdr:rowOff>12700</xdr:rowOff>
        </xdr:from>
        <xdr:to>
          <xdr:col>0</xdr:col>
          <xdr:colOff>368300</xdr:colOff>
          <xdr:row>102</xdr:row>
          <xdr:rowOff>0</xdr:rowOff>
        </xdr:to>
        <xdr:sp macro="" textlink="">
          <xdr:nvSpPr>
            <xdr:cNvPr id="3229" name="Check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102</xdr:row>
          <xdr:rowOff>12700</xdr:rowOff>
        </xdr:from>
        <xdr:to>
          <xdr:col>0</xdr:col>
          <xdr:colOff>368300</xdr:colOff>
          <xdr:row>102</xdr:row>
          <xdr:rowOff>192767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103</xdr:row>
          <xdr:rowOff>12700</xdr:rowOff>
        </xdr:from>
        <xdr:to>
          <xdr:col>0</xdr:col>
          <xdr:colOff>368300</xdr:colOff>
          <xdr:row>104</xdr:row>
          <xdr:rowOff>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104</xdr:row>
          <xdr:rowOff>12700</xdr:rowOff>
        </xdr:from>
        <xdr:to>
          <xdr:col>0</xdr:col>
          <xdr:colOff>368300</xdr:colOff>
          <xdr:row>105</xdr:row>
          <xdr:rowOff>0</xdr:rowOff>
        </xdr:to>
        <xdr:sp macro="" textlink="">
          <xdr:nvSpPr>
            <xdr:cNvPr id="3232" name="Check Box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105</xdr:row>
          <xdr:rowOff>12700</xdr:rowOff>
        </xdr:from>
        <xdr:to>
          <xdr:col>0</xdr:col>
          <xdr:colOff>368300</xdr:colOff>
          <xdr:row>105</xdr:row>
          <xdr:rowOff>189254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106</xdr:row>
          <xdr:rowOff>12700</xdr:rowOff>
        </xdr:from>
        <xdr:to>
          <xdr:col>0</xdr:col>
          <xdr:colOff>368300</xdr:colOff>
          <xdr:row>106</xdr:row>
          <xdr:rowOff>189255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107</xdr:row>
          <xdr:rowOff>12700</xdr:rowOff>
        </xdr:from>
        <xdr:to>
          <xdr:col>0</xdr:col>
          <xdr:colOff>368300</xdr:colOff>
          <xdr:row>107</xdr:row>
          <xdr:rowOff>189255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147</xdr:row>
          <xdr:rowOff>12700</xdr:rowOff>
        </xdr:from>
        <xdr:to>
          <xdr:col>0</xdr:col>
          <xdr:colOff>368300</xdr:colOff>
          <xdr:row>148</xdr:row>
          <xdr:rowOff>0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166</xdr:row>
          <xdr:rowOff>12700</xdr:rowOff>
        </xdr:from>
        <xdr:to>
          <xdr:col>0</xdr:col>
          <xdr:colOff>368300</xdr:colOff>
          <xdr:row>167</xdr:row>
          <xdr:rowOff>0</xdr:rowOff>
        </xdr:to>
        <xdr:sp macro="" textlink="">
          <xdr:nvSpPr>
            <xdr:cNvPr id="3237" name="Check Box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108</xdr:row>
          <xdr:rowOff>12700</xdr:rowOff>
        </xdr:from>
        <xdr:to>
          <xdr:col>0</xdr:col>
          <xdr:colOff>368300</xdr:colOff>
          <xdr:row>109</xdr:row>
          <xdr:rowOff>0</xdr:rowOff>
        </xdr:to>
        <xdr:sp macro="" textlink="">
          <xdr:nvSpPr>
            <xdr:cNvPr id="3238" name="Check Box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109</xdr:row>
          <xdr:rowOff>12700</xdr:rowOff>
        </xdr:from>
        <xdr:to>
          <xdr:col>0</xdr:col>
          <xdr:colOff>368300</xdr:colOff>
          <xdr:row>109</xdr:row>
          <xdr:rowOff>192767</xdr:rowOff>
        </xdr:to>
        <xdr:sp macro="" textlink="">
          <xdr:nvSpPr>
            <xdr:cNvPr id="3239" name="Check Box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110</xdr:row>
          <xdr:rowOff>12700</xdr:rowOff>
        </xdr:from>
        <xdr:to>
          <xdr:col>0</xdr:col>
          <xdr:colOff>368300</xdr:colOff>
          <xdr:row>111</xdr:row>
          <xdr:rowOff>0</xdr:rowOff>
        </xdr:to>
        <xdr:sp macro="" textlink="">
          <xdr:nvSpPr>
            <xdr:cNvPr id="3240" name="Check Box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111</xdr:row>
          <xdr:rowOff>12700</xdr:rowOff>
        </xdr:from>
        <xdr:to>
          <xdr:col>0</xdr:col>
          <xdr:colOff>368300</xdr:colOff>
          <xdr:row>112</xdr:row>
          <xdr:rowOff>0</xdr:rowOff>
        </xdr:to>
        <xdr:sp macro="" textlink="">
          <xdr:nvSpPr>
            <xdr:cNvPr id="3241" name="Check Box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112</xdr:row>
          <xdr:rowOff>12700</xdr:rowOff>
        </xdr:from>
        <xdr:to>
          <xdr:col>0</xdr:col>
          <xdr:colOff>368300</xdr:colOff>
          <xdr:row>113</xdr:row>
          <xdr:rowOff>0</xdr:rowOff>
        </xdr:to>
        <xdr:sp macro="" textlink="">
          <xdr:nvSpPr>
            <xdr:cNvPr id="3242" name="Check Box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113</xdr:row>
          <xdr:rowOff>12700</xdr:rowOff>
        </xdr:from>
        <xdr:to>
          <xdr:col>0</xdr:col>
          <xdr:colOff>368300</xdr:colOff>
          <xdr:row>114</xdr:row>
          <xdr:rowOff>0</xdr:rowOff>
        </xdr:to>
        <xdr:sp macro="" textlink="">
          <xdr:nvSpPr>
            <xdr:cNvPr id="3243" name="Check Box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114</xdr:row>
          <xdr:rowOff>12700</xdr:rowOff>
        </xdr:from>
        <xdr:to>
          <xdr:col>0</xdr:col>
          <xdr:colOff>368300</xdr:colOff>
          <xdr:row>115</xdr:row>
          <xdr:rowOff>0</xdr:rowOff>
        </xdr:to>
        <xdr:sp macro="" textlink="">
          <xdr:nvSpPr>
            <xdr:cNvPr id="3244" name="Check Box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176554</xdr:rowOff>
        </xdr:to>
        <xdr:sp macro="" textlink="">
          <xdr:nvSpPr>
            <xdr:cNvPr id="3245" name="Check Box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115</xdr:row>
          <xdr:rowOff>12700</xdr:rowOff>
        </xdr:from>
        <xdr:to>
          <xdr:col>0</xdr:col>
          <xdr:colOff>368300</xdr:colOff>
          <xdr:row>115</xdr:row>
          <xdr:rowOff>189255</xdr:rowOff>
        </xdr:to>
        <xdr:sp macro="" textlink="">
          <xdr:nvSpPr>
            <xdr:cNvPr id="3246" name="Check Box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116</xdr:row>
          <xdr:rowOff>12700</xdr:rowOff>
        </xdr:from>
        <xdr:to>
          <xdr:col>0</xdr:col>
          <xdr:colOff>368300</xdr:colOff>
          <xdr:row>116</xdr:row>
          <xdr:rowOff>189255</xdr:rowOff>
        </xdr:to>
        <xdr:sp macro="" textlink="">
          <xdr:nvSpPr>
            <xdr:cNvPr id="3247" name="Check Box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117</xdr:row>
          <xdr:rowOff>12700</xdr:rowOff>
        </xdr:from>
        <xdr:to>
          <xdr:col>0</xdr:col>
          <xdr:colOff>368300</xdr:colOff>
          <xdr:row>118</xdr:row>
          <xdr:rowOff>0</xdr:rowOff>
        </xdr:to>
        <xdr:sp macro="" textlink="">
          <xdr:nvSpPr>
            <xdr:cNvPr id="3248" name="Check Box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148</xdr:row>
          <xdr:rowOff>12700</xdr:rowOff>
        </xdr:from>
        <xdr:to>
          <xdr:col>0</xdr:col>
          <xdr:colOff>368300</xdr:colOff>
          <xdr:row>149</xdr:row>
          <xdr:rowOff>0</xdr:rowOff>
        </xdr:to>
        <xdr:sp macro="" textlink="">
          <xdr:nvSpPr>
            <xdr:cNvPr id="3249" name="Check Box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118</xdr:row>
          <xdr:rowOff>12700</xdr:rowOff>
        </xdr:from>
        <xdr:to>
          <xdr:col>0</xdr:col>
          <xdr:colOff>368300</xdr:colOff>
          <xdr:row>119</xdr:row>
          <xdr:rowOff>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119</xdr:row>
          <xdr:rowOff>12700</xdr:rowOff>
        </xdr:from>
        <xdr:to>
          <xdr:col>0</xdr:col>
          <xdr:colOff>368300</xdr:colOff>
          <xdr:row>120</xdr:row>
          <xdr:rowOff>0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120</xdr:row>
          <xdr:rowOff>12700</xdr:rowOff>
        </xdr:from>
        <xdr:to>
          <xdr:col>0</xdr:col>
          <xdr:colOff>368300</xdr:colOff>
          <xdr:row>121</xdr:row>
          <xdr:rowOff>0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121</xdr:row>
          <xdr:rowOff>12700</xdr:rowOff>
        </xdr:from>
        <xdr:to>
          <xdr:col>0</xdr:col>
          <xdr:colOff>368300</xdr:colOff>
          <xdr:row>122</xdr:row>
          <xdr:rowOff>0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167</xdr:row>
          <xdr:rowOff>12700</xdr:rowOff>
        </xdr:from>
        <xdr:to>
          <xdr:col>0</xdr:col>
          <xdr:colOff>368300</xdr:colOff>
          <xdr:row>168</xdr:row>
          <xdr:rowOff>0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168</xdr:row>
          <xdr:rowOff>12700</xdr:rowOff>
        </xdr:from>
        <xdr:to>
          <xdr:col>0</xdr:col>
          <xdr:colOff>368300</xdr:colOff>
          <xdr:row>169</xdr:row>
          <xdr:rowOff>0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169</xdr:row>
          <xdr:rowOff>12700</xdr:rowOff>
        </xdr:from>
        <xdr:to>
          <xdr:col>0</xdr:col>
          <xdr:colOff>368300</xdr:colOff>
          <xdr:row>170</xdr:row>
          <xdr:rowOff>0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170</xdr:row>
          <xdr:rowOff>12700</xdr:rowOff>
        </xdr:from>
        <xdr:to>
          <xdr:col>0</xdr:col>
          <xdr:colOff>368300</xdr:colOff>
          <xdr:row>171</xdr:row>
          <xdr:rowOff>0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176554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122</xdr:row>
          <xdr:rowOff>12700</xdr:rowOff>
        </xdr:from>
        <xdr:to>
          <xdr:col>0</xdr:col>
          <xdr:colOff>368300</xdr:colOff>
          <xdr:row>123</xdr:row>
          <xdr:rowOff>0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171</xdr:row>
          <xdr:rowOff>12700</xdr:rowOff>
        </xdr:from>
        <xdr:to>
          <xdr:col>0</xdr:col>
          <xdr:colOff>368300</xdr:colOff>
          <xdr:row>171</xdr:row>
          <xdr:rowOff>189255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123</xdr:row>
          <xdr:rowOff>12700</xdr:rowOff>
        </xdr:from>
        <xdr:to>
          <xdr:col>0</xdr:col>
          <xdr:colOff>368300</xdr:colOff>
          <xdr:row>123</xdr:row>
          <xdr:rowOff>192767</xdr:rowOff>
        </xdr:to>
        <xdr:sp macro="" textlink="">
          <xdr:nvSpPr>
            <xdr:cNvPr id="3261" name="Check Box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124</xdr:row>
          <xdr:rowOff>12700</xdr:rowOff>
        </xdr:from>
        <xdr:to>
          <xdr:col>0</xdr:col>
          <xdr:colOff>368300</xdr:colOff>
          <xdr:row>124</xdr:row>
          <xdr:rowOff>189254</xdr:rowOff>
        </xdr:to>
        <xdr:sp macro="" textlink="">
          <xdr:nvSpPr>
            <xdr:cNvPr id="3262" name="Check Box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125</xdr:row>
          <xdr:rowOff>12700</xdr:rowOff>
        </xdr:from>
        <xdr:to>
          <xdr:col>0</xdr:col>
          <xdr:colOff>368300</xdr:colOff>
          <xdr:row>125</xdr:row>
          <xdr:rowOff>189255</xdr:rowOff>
        </xdr:to>
        <xdr:sp macro="" textlink="">
          <xdr:nvSpPr>
            <xdr:cNvPr id="3263" name="Check Box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126</xdr:row>
          <xdr:rowOff>12700</xdr:rowOff>
        </xdr:from>
        <xdr:to>
          <xdr:col>0</xdr:col>
          <xdr:colOff>368300</xdr:colOff>
          <xdr:row>126</xdr:row>
          <xdr:rowOff>189255</xdr:rowOff>
        </xdr:to>
        <xdr:sp macro="" textlink="">
          <xdr:nvSpPr>
            <xdr:cNvPr id="3264" name="Check Box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127</xdr:row>
          <xdr:rowOff>12700</xdr:rowOff>
        </xdr:from>
        <xdr:to>
          <xdr:col>0</xdr:col>
          <xdr:colOff>368300</xdr:colOff>
          <xdr:row>128</xdr:row>
          <xdr:rowOff>0</xdr:rowOff>
        </xdr:to>
        <xdr:sp macro="" textlink="">
          <xdr:nvSpPr>
            <xdr:cNvPr id="3265" name="Check Box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128</xdr:row>
          <xdr:rowOff>12700</xdr:rowOff>
        </xdr:from>
        <xdr:to>
          <xdr:col>0</xdr:col>
          <xdr:colOff>368300</xdr:colOff>
          <xdr:row>129</xdr:row>
          <xdr:rowOff>0</xdr:rowOff>
        </xdr:to>
        <xdr:sp macro="" textlink="">
          <xdr:nvSpPr>
            <xdr:cNvPr id="3266" name="Check Box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129</xdr:row>
          <xdr:rowOff>12700</xdr:rowOff>
        </xdr:from>
        <xdr:to>
          <xdr:col>0</xdr:col>
          <xdr:colOff>368300</xdr:colOff>
          <xdr:row>130</xdr:row>
          <xdr:rowOff>0</xdr:rowOff>
        </xdr:to>
        <xdr:sp macro="" textlink="">
          <xdr:nvSpPr>
            <xdr:cNvPr id="3267" name="Check Box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130</xdr:row>
          <xdr:rowOff>12700</xdr:rowOff>
        </xdr:from>
        <xdr:to>
          <xdr:col>0</xdr:col>
          <xdr:colOff>368300</xdr:colOff>
          <xdr:row>130</xdr:row>
          <xdr:rowOff>192767</xdr:rowOff>
        </xdr:to>
        <xdr:sp macro="" textlink="">
          <xdr:nvSpPr>
            <xdr:cNvPr id="3268" name="Check Box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172</xdr:row>
          <xdr:rowOff>12700</xdr:rowOff>
        </xdr:from>
        <xdr:to>
          <xdr:col>0</xdr:col>
          <xdr:colOff>368300</xdr:colOff>
          <xdr:row>172</xdr:row>
          <xdr:rowOff>189255</xdr:rowOff>
        </xdr:to>
        <xdr:sp macro="" textlink="">
          <xdr:nvSpPr>
            <xdr:cNvPr id="3269" name="Check Box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131</xdr:row>
          <xdr:rowOff>12700</xdr:rowOff>
        </xdr:from>
        <xdr:to>
          <xdr:col>0</xdr:col>
          <xdr:colOff>368300</xdr:colOff>
          <xdr:row>132</xdr:row>
          <xdr:rowOff>0</xdr:rowOff>
        </xdr:to>
        <xdr:sp macro="" textlink="">
          <xdr:nvSpPr>
            <xdr:cNvPr id="3270" name="Check Box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173</xdr:row>
          <xdr:rowOff>12700</xdr:rowOff>
        </xdr:from>
        <xdr:to>
          <xdr:col>0</xdr:col>
          <xdr:colOff>368300</xdr:colOff>
          <xdr:row>174</xdr:row>
          <xdr:rowOff>0</xdr:rowOff>
        </xdr:to>
        <xdr:sp macro="" textlink="">
          <xdr:nvSpPr>
            <xdr:cNvPr id="3271" name="Check Box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132</xdr:row>
          <xdr:rowOff>12700</xdr:rowOff>
        </xdr:from>
        <xdr:to>
          <xdr:col>0</xdr:col>
          <xdr:colOff>368300</xdr:colOff>
          <xdr:row>133</xdr:row>
          <xdr:rowOff>0</xdr:rowOff>
        </xdr:to>
        <xdr:sp macro="" textlink="">
          <xdr:nvSpPr>
            <xdr:cNvPr id="3272" name="Check Box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133</xdr:row>
          <xdr:rowOff>12700</xdr:rowOff>
        </xdr:from>
        <xdr:to>
          <xdr:col>0</xdr:col>
          <xdr:colOff>368300</xdr:colOff>
          <xdr:row>134</xdr:row>
          <xdr:rowOff>0</xdr:rowOff>
        </xdr:to>
        <xdr:sp macro="" textlink="">
          <xdr:nvSpPr>
            <xdr:cNvPr id="3273" name="Check Box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134</xdr:row>
          <xdr:rowOff>12700</xdr:rowOff>
        </xdr:from>
        <xdr:to>
          <xdr:col>0</xdr:col>
          <xdr:colOff>368300</xdr:colOff>
          <xdr:row>134</xdr:row>
          <xdr:rowOff>189254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176555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174</xdr:row>
          <xdr:rowOff>12700</xdr:rowOff>
        </xdr:from>
        <xdr:to>
          <xdr:col>0</xdr:col>
          <xdr:colOff>368300</xdr:colOff>
          <xdr:row>175</xdr:row>
          <xdr:rowOff>0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135</xdr:row>
          <xdr:rowOff>12700</xdr:rowOff>
        </xdr:from>
        <xdr:to>
          <xdr:col>0</xdr:col>
          <xdr:colOff>368300</xdr:colOff>
          <xdr:row>135</xdr:row>
          <xdr:rowOff>189255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175</xdr:row>
          <xdr:rowOff>12700</xdr:rowOff>
        </xdr:from>
        <xdr:to>
          <xdr:col>0</xdr:col>
          <xdr:colOff>368300</xdr:colOff>
          <xdr:row>176</xdr:row>
          <xdr:rowOff>0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136</xdr:row>
          <xdr:rowOff>12700</xdr:rowOff>
        </xdr:from>
        <xdr:to>
          <xdr:col>0</xdr:col>
          <xdr:colOff>368300</xdr:colOff>
          <xdr:row>137</xdr:row>
          <xdr:rowOff>0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176</xdr:row>
          <xdr:rowOff>12700</xdr:rowOff>
        </xdr:from>
        <xdr:to>
          <xdr:col>0</xdr:col>
          <xdr:colOff>368300</xdr:colOff>
          <xdr:row>177</xdr:row>
          <xdr:rowOff>0</xdr:rowOff>
        </xdr:to>
        <xdr:sp macro="" textlink="">
          <xdr:nvSpPr>
            <xdr:cNvPr id="3281" name="Check Box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177</xdr:row>
          <xdr:rowOff>12700</xdr:rowOff>
        </xdr:from>
        <xdr:to>
          <xdr:col>0</xdr:col>
          <xdr:colOff>368300</xdr:colOff>
          <xdr:row>178</xdr:row>
          <xdr:rowOff>0</xdr:rowOff>
        </xdr:to>
        <xdr:sp macro="" textlink="">
          <xdr:nvSpPr>
            <xdr:cNvPr id="3282" name="Check Box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137</xdr:row>
          <xdr:rowOff>12700</xdr:rowOff>
        </xdr:from>
        <xdr:to>
          <xdr:col>0</xdr:col>
          <xdr:colOff>368300</xdr:colOff>
          <xdr:row>137</xdr:row>
          <xdr:rowOff>192767</xdr:rowOff>
        </xdr:to>
        <xdr:sp macro="" textlink="">
          <xdr:nvSpPr>
            <xdr:cNvPr id="3283" name="Check Box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284" name="Check Box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176554</xdr:rowOff>
        </xdr:to>
        <xdr:sp macro="" textlink="">
          <xdr:nvSpPr>
            <xdr:cNvPr id="3285" name="Check Box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176555</xdr:rowOff>
        </xdr:to>
        <xdr:sp macro="" textlink="">
          <xdr:nvSpPr>
            <xdr:cNvPr id="3286" name="Check Box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176555</xdr:rowOff>
        </xdr:to>
        <xdr:sp macro="" textlink="">
          <xdr:nvSpPr>
            <xdr:cNvPr id="3287" name="Check Box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138</xdr:row>
          <xdr:rowOff>12700</xdr:rowOff>
        </xdr:from>
        <xdr:to>
          <xdr:col>0</xdr:col>
          <xdr:colOff>368300</xdr:colOff>
          <xdr:row>139</xdr:row>
          <xdr:rowOff>0</xdr:rowOff>
        </xdr:to>
        <xdr:sp macro="" textlink="">
          <xdr:nvSpPr>
            <xdr:cNvPr id="3288" name="Check Box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139</xdr:row>
          <xdr:rowOff>12700</xdr:rowOff>
        </xdr:from>
        <xdr:to>
          <xdr:col>0</xdr:col>
          <xdr:colOff>368300</xdr:colOff>
          <xdr:row>140</xdr:row>
          <xdr:rowOff>0</xdr:rowOff>
        </xdr:to>
        <xdr:sp macro="" textlink="">
          <xdr:nvSpPr>
            <xdr:cNvPr id="3289" name="Check Box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149</xdr:row>
          <xdr:rowOff>12700</xdr:rowOff>
        </xdr:from>
        <xdr:to>
          <xdr:col>0</xdr:col>
          <xdr:colOff>368300</xdr:colOff>
          <xdr:row>150</xdr:row>
          <xdr:rowOff>0</xdr:rowOff>
        </xdr:to>
        <xdr:sp macro="" textlink="">
          <xdr:nvSpPr>
            <xdr:cNvPr id="3290" name="Check Box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178</xdr:row>
          <xdr:rowOff>12700</xdr:rowOff>
        </xdr:from>
        <xdr:to>
          <xdr:col>0</xdr:col>
          <xdr:colOff>368300</xdr:colOff>
          <xdr:row>179</xdr:row>
          <xdr:rowOff>0</xdr:rowOff>
        </xdr:to>
        <xdr:sp macro="" textlink="">
          <xdr:nvSpPr>
            <xdr:cNvPr id="3291" name="Check Box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179</xdr:row>
          <xdr:rowOff>12700</xdr:rowOff>
        </xdr:from>
        <xdr:to>
          <xdr:col>0</xdr:col>
          <xdr:colOff>368300</xdr:colOff>
          <xdr:row>179</xdr:row>
          <xdr:rowOff>192767</xdr:rowOff>
        </xdr:to>
        <xdr:sp macro="" textlink="">
          <xdr:nvSpPr>
            <xdr:cNvPr id="3292" name="Check Box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39</xdr:col>
      <xdr:colOff>457200</xdr:colOff>
      <xdr:row>50</xdr:row>
      <xdr:rowOff>16977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651700" cy="9541977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03174C2-C3B5-E941-ACAA-5903A09A803F}" autoFormatId="16" applyNumberFormats="0" applyBorderFormats="0" applyFontFormats="0" applyPatternFormats="0" applyAlignmentFormats="0" applyWidthHeightFormats="0">
  <queryTableRefresh nextId="4">
    <queryTableFields count="3">
      <queryTableField id="1" name="schemaId" tableColumnId="1"/>
      <queryTableField id="2" name="displayName" tableColumnId="2"/>
      <queryTableField id="3" name="latestSchemaVersion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46183-E97D-470F-B638-B99E46BC2C29}" name="Table1" displayName="Table1" ref="A1:Z217" totalsRowShown="0" headerRowDxfId="54" dataDxfId="53">
  <tableColumns count="26">
    <tableColumn id="1" xr3:uid="{A04FA0D6-3DFC-4C4E-A22B-C14970D2DCB1}" name="Resource Name" dataDxfId="52"/>
    <tableColumn id="3" xr3:uid="{BDBD5CFE-6E04-4E08-B8B4-3F542D3DF567}" name="Schema ID" dataDxfId="51"/>
    <tableColumn id="2" xr3:uid="{1DE7967D-13BB-4060-861C-B04B7CF436CF}" name="ResourceType Name" dataDxfId="50"/>
    <tableColumn id="29" xr3:uid="{F06CBED0-8DFA-8C4B-9A32-F6AE0985625F}" name="Status" dataDxfId="49"/>
    <tableColumn id="4" xr3:uid="{251F5D98-3EFE-4466-9609-D4B695C2D43C}" name="Implemented Settings 2.0 Version" dataDxfId="48"/>
    <tableColumn id="8" xr3:uid="{636E2F38-869D-B14D-AF93-69B2F45817C7}" name="Latest Settings 2.0 Version (5/16)" dataDxfId="47">
      <calculatedColumnFormula>VLOOKUP($B2,'Schema Import'!$A$2:$C$183,3,FALSE)</calculatedColumnFormula>
    </tableColumn>
    <tableColumn id="6" xr3:uid="{43CC9382-0AC1-4CFE-94BB-BBAF46920627}" name="API" dataDxfId="46"/>
    <tableColumn id="28" xr3:uid="{350A7E8C-2767-3848-AE98-49612D04FC54}" name="API Token Scope (Excludes dependencies)" dataDxfId="45"/>
    <tableColumn id="24" xr3:uid="{4F67A792-2C12-6544-83E2-3D4B7725EC11}" name="Migration: Iterative  Order" dataDxfId="44"/>
    <tableColumn id="23" xr3:uid="{9FBE459E-892E-42AA-B4A1-C9ADC7D9F17D}" name="# of dependencies" dataDxfId="43">
      <calculatedColumnFormula>COUNTIF(Table1[[#This Row],[Management Zone]:[AWS Credentials]],"*")</calculatedColumnFormula>
    </tableColumn>
    <tableColumn id="7" xr3:uid="{ECFE8E9F-F8EA-461E-B959-64CA8481ED56}" name="Management Zone" dataDxfId="42"/>
    <tableColumn id="9" xr3:uid="{BAF6C13B-521C-4AD7-9398-9F424205FA6A}" name="Alerting" dataDxfId="41"/>
    <tableColumn id="10" xr3:uid="{C7ED4541-1BF6-468F-8A14-CBA235A40D0E}" name="Request Attribute" dataDxfId="40"/>
    <tableColumn id="11" xr3:uid="{A4D45A27-CB84-4911-9BC7-77BF4F2011CA}" name="Calculated Service Metric" dataDxfId="39"/>
    <tableColumn id="12" xr3:uid="{5D1B1014-4145-4125-88FA-582A383720F2}" name="SLO" dataDxfId="38"/>
    <tableColumn id="13" xr3:uid="{746F967B-6146-4593-B1F5-B8BCEB040023}" name="Web Application" dataDxfId="37"/>
    <tableColumn id="14" xr3:uid="{8E793826-D37F-4C2B-B78A-3D9AA175A318}" name="Mobile Application" dataDxfId="36"/>
    <tableColumn id="15" xr3:uid="{F0EAD33E-A5BF-4712-94F5-821B8F9972F7}" name="Browser Monitor" dataDxfId="35"/>
    <tableColumn id="16" xr3:uid="{9918CAA0-307B-4C34-A2E5-D6CEB4F263F1}" name="HTTP Monitor" dataDxfId="34"/>
    <tableColumn id="17" xr3:uid="{E8E12E70-EA36-4919-8900-8672C45A9164}" name="Synthetic Location" dataDxfId="33"/>
    <tableColumn id="18" xr3:uid="{56AE03F8-277F-4626-B74E-E7E77377A68E}" name="Failure Detection Parameters" dataDxfId="32"/>
    <tableColumn id="19" xr3:uid="{E2C869E5-1469-4793-9F6F-A26B206DC4D5}" name="Update Windows" dataDxfId="31"/>
    <tableColumn id="20" xr3:uid="{0AC3F154-E3C9-4BFF-B463-6A74C0F18D83}" name="Request Naming" dataDxfId="30"/>
    <tableColumn id="21" xr3:uid="{CE5F59A0-CD37-4049-9941-ABAE235FFF77}" name="Credentials" dataDxfId="29"/>
    <tableColumn id="22" xr3:uid="{D0CD03C8-BEB1-4AE9-9F52-540751C3970A}" name="AWS Credentials" dataDxfId="28"/>
    <tableColumn id="5" xr3:uid="{3FD6406B-4F13-4D5D-85BF-8D6CFA096FAC}" name="Notes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B11969-9233-484D-9F5E-AE1CCBBBE151}" name="Table3" displayName="Table3" ref="A1:X186" totalsRowShown="0">
  <autoFilter ref="A1:X186" xr:uid="{F8B11969-9233-484D-9F5E-AE1CCBBBE151}"/>
  <sortState xmlns:xlrd2="http://schemas.microsoft.com/office/spreadsheetml/2017/richdata2" ref="A2:X186">
    <sortCondition ref="D1:D186"/>
  </sortState>
  <tableColumns count="24">
    <tableColumn id="27" xr3:uid="{73B4D9E5-49B8-A44E-99BE-C29D97A4713D}" name="Complete"/>
    <tableColumn id="2" xr3:uid="{91A96223-E3FA-6F4C-B11F-EF6846B1B881}" name="Complete (bool)"/>
    <tableColumn id="28" xr3:uid="{9AA29A37-E87C-4546-82C4-F4265A174708}" name="Date Completed" dataDxfId="26">
      <calculatedColumnFormula array="1">IF(B2=TRUE,NowStatic(),"")</calculatedColumnFormula>
    </tableColumn>
    <tableColumn id="9" xr3:uid="{48F05F62-24FF-4548-9793-D534FC84DA6F}" name="Migration: Iterative  Order" dataDxfId="24">
      <calculatedColumnFormula>Info!I8</calculatedColumnFormula>
    </tableColumn>
    <tableColumn id="1" xr3:uid="{A6703E1F-CAF2-4B42-8C75-030FB81DB966}" name="Resource Name">
      <calculatedColumnFormula>Info!A8</calculatedColumnFormula>
    </tableColumn>
    <tableColumn id="7" xr3:uid="{18A1ED8D-E0CE-FB46-836F-89BEA4AF16F9}" name="API">
      <calculatedColumnFormula>Info!G8</calculatedColumnFormula>
    </tableColumn>
    <tableColumn id="10" xr3:uid="{81EB48A6-8B88-B940-BE57-7086913BCA7A}" name="# of dependencies" dataDxfId="23">
      <calculatedColumnFormula>Info!J8</calculatedColumnFormula>
    </tableColumn>
    <tableColumn id="11" xr3:uid="{1172B070-BD18-114C-8F04-F43EFC16242C}" name="Management Zone" dataDxfId="22">
      <calculatedColumnFormula>Info!K8</calculatedColumnFormula>
    </tableColumn>
    <tableColumn id="12" xr3:uid="{6B764B2A-6E26-D34A-A978-110607648684}" name="Alerting" dataDxfId="21">
      <calculatedColumnFormula>Info!L8</calculatedColumnFormula>
    </tableColumn>
    <tableColumn id="13" xr3:uid="{EBC82249-FF11-C147-8E7C-37E2D5CFE725}" name="Request Attribute" dataDxfId="20">
      <calculatedColumnFormula>Info!M8</calculatedColumnFormula>
    </tableColumn>
    <tableColumn id="14" xr3:uid="{7A9BEBEF-47E4-0141-BD3B-0F311E4384A2}" name="Calculated Service Metric" dataDxfId="19">
      <calculatedColumnFormula>Info!N8</calculatedColumnFormula>
    </tableColumn>
    <tableColumn id="15" xr3:uid="{111E6656-2D31-764B-921E-DCAFB82A9ED9}" name="SLO" dataDxfId="18">
      <calculatedColumnFormula>Info!O8</calculatedColumnFormula>
    </tableColumn>
    <tableColumn id="16" xr3:uid="{EDD9AE07-6C2C-A843-A89B-CA080070AC86}" name="Web Application" dataDxfId="17">
      <calculatedColumnFormula>Info!P8</calculatedColumnFormula>
    </tableColumn>
    <tableColumn id="17" xr3:uid="{CDE76046-01A0-4F42-8710-70AF543C25BA}" name="Mobile Application" dataDxfId="16">
      <calculatedColumnFormula>Info!Q8</calculatedColumnFormula>
    </tableColumn>
    <tableColumn id="18" xr3:uid="{FE34E357-49C2-B541-B353-40E7E6D0A0CF}" name="Browser Monitor" dataDxfId="15">
      <calculatedColumnFormula>Info!R8</calculatedColumnFormula>
    </tableColumn>
    <tableColumn id="19" xr3:uid="{E1B6FF65-1DCB-6D4D-AC90-CBE8BC3F345B}" name="HTTP Monitor" dataDxfId="14">
      <calculatedColumnFormula>Info!S8</calculatedColumnFormula>
    </tableColumn>
    <tableColumn id="20" xr3:uid="{37D18530-164B-F440-8979-12B8E2FFD3DD}" name="Synthetic Location" dataDxfId="13">
      <calculatedColumnFormula>Info!T8</calculatedColumnFormula>
    </tableColumn>
    <tableColumn id="21" xr3:uid="{028E3E72-72E9-5C45-8E28-6A6F8426C59F}" name="Failure Detection Parameters" dataDxfId="12">
      <calculatedColumnFormula>Info!U8</calculatedColumnFormula>
    </tableColumn>
    <tableColumn id="22" xr3:uid="{EF019D07-107D-3D49-AF95-A58242328BF8}" name="Update Windows" dataDxfId="11">
      <calculatedColumnFormula>Info!V8</calculatedColumnFormula>
    </tableColumn>
    <tableColumn id="23" xr3:uid="{F334D0A4-5F5B-2A45-88E7-3A2BADF8B927}" name="Request Naming" dataDxfId="10">
      <calculatedColumnFormula>Info!W8</calculatedColumnFormula>
    </tableColumn>
    <tableColumn id="24" xr3:uid="{7445B4C3-901C-DE48-9BE6-1AA0DB9B00B3}" name="Credentials" dataDxfId="9">
      <calculatedColumnFormula>Info!X8</calculatedColumnFormula>
    </tableColumn>
    <tableColumn id="25" xr3:uid="{16A8B331-313B-FB40-90AE-AADE326C8D27}" name="AWS Credentials" dataDxfId="8">
      <calculatedColumnFormula>Info!Y8</calculatedColumnFormula>
    </tableColumn>
    <tableColumn id="8" xr3:uid="{1B678623-B81F-E743-B3BE-88FC2AEF3E96}" name="API Token Scope (Exc. dependencies)" dataDxfId="7">
      <calculatedColumnFormula>Info!H8</calculatedColumnFormula>
    </tableColumn>
    <tableColumn id="26" xr3:uid="{8E62D623-45C3-1C47-89C8-B078BE8203CA}" name="Notes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1194-66E7-6840-9A8D-8249B9DB689B}" name="Table_Query" displayName="Table_Query" ref="A1:C183" tableType="queryTable" totalsRowShown="0">
  <autoFilter ref="A1:C183" xr:uid="{8C971194-66E7-6840-9A8D-8249B9DB689B}"/>
  <sortState xmlns:xlrd2="http://schemas.microsoft.com/office/spreadsheetml/2017/richdata2" ref="A2:C183">
    <sortCondition ref="A1:A183"/>
  </sortState>
  <tableColumns count="3">
    <tableColumn id="1" xr3:uid="{EBB87D9F-ABC3-F14D-9151-0AB8FD4ACA9E}" uniqueName="1" name="Schema ID" queryTableFieldId="1"/>
    <tableColumn id="2" xr3:uid="{454BC1A2-AD34-6D41-AAEA-177FB371263A}" uniqueName="2" name="Display Name" queryTableFieldId="2"/>
    <tableColumn id="3" xr3:uid="{05A00CC1-8237-CE41-9878-19B89282B2A5}" uniqueName="3" name="Latest Schema Version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7121-BFE0-4D33-9BA1-E76903FB61BB}">
  <sheetPr codeName="Sheet1"/>
  <dimension ref="A1:AK219"/>
  <sheetViews>
    <sheetView zoomScale="180" zoomScaleNormal="180" workbookViewId="0">
      <pane xSplit="1" topLeftCell="B1" activePane="topRight" state="frozen"/>
      <selection pane="topRight" sqref="A1:A1048576"/>
    </sheetView>
  </sheetViews>
  <sheetFormatPr baseColWidth="10" defaultColWidth="8.83203125" defaultRowHeight="15" x14ac:dyDescent="0.2"/>
  <cols>
    <col min="1" max="1" width="39" style="1" bestFit="1" customWidth="1"/>
    <col min="2" max="2" width="50.83203125" bestFit="1" customWidth="1"/>
    <col min="3" max="3" width="32.1640625" bestFit="1" customWidth="1"/>
    <col min="4" max="4" width="14.5" bestFit="1" customWidth="1"/>
    <col min="5" max="6" width="6.1640625" customWidth="1"/>
    <col min="7" max="7" width="17.83203125" bestFit="1" customWidth="1"/>
    <col min="8" max="8" width="36.33203125" bestFit="1" customWidth="1"/>
    <col min="9" max="10" width="4.6640625" style="7" customWidth="1"/>
    <col min="11" max="11" width="4.6640625" customWidth="1"/>
    <col min="12" max="12" width="4.6640625" style="7" customWidth="1"/>
    <col min="13" max="13" width="4.6640625" customWidth="1"/>
    <col min="14" max="14" width="4.6640625" style="1" customWidth="1"/>
    <col min="15" max="24" width="4.6640625" style="7" customWidth="1"/>
    <col min="25" max="25" width="4.5" style="7" customWidth="1"/>
    <col min="26" max="26" width="125.83203125" style="7" bestFit="1" customWidth="1"/>
    <col min="27" max="27" width="5.6640625" style="7" customWidth="1"/>
    <col min="28" max="28" width="70.83203125" bestFit="1" customWidth="1"/>
    <col min="29" max="29" width="5.6640625" style="7" customWidth="1"/>
    <col min="30" max="30" width="70.83203125" bestFit="1" customWidth="1"/>
    <col min="31" max="31" width="42" style="1" bestFit="1" customWidth="1"/>
    <col min="32" max="32" width="70.83203125" bestFit="1" customWidth="1"/>
    <col min="33" max="33" width="70.83203125" style="1" bestFit="1" customWidth="1"/>
    <col min="34" max="35" width="21.5" bestFit="1" customWidth="1"/>
    <col min="36" max="36" width="21.33203125" style="1" bestFit="1" customWidth="1"/>
    <col min="37" max="37" width="20.83203125" style="1" customWidth="1"/>
    <col min="38" max="38" width="20.5" customWidth="1"/>
  </cols>
  <sheetData>
    <row r="1" spans="1:37" ht="166" x14ac:dyDescent="0.2">
      <c r="A1" s="1" t="s">
        <v>546</v>
      </c>
      <c r="B1" s="1" t="s">
        <v>548</v>
      </c>
      <c r="C1" s="1" t="s">
        <v>547</v>
      </c>
      <c r="D1" s="1" t="s">
        <v>962</v>
      </c>
      <c r="E1" s="4" t="s">
        <v>628</v>
      </c>
      <c r="F1" s="4" t="s">
        <v>950</v>
      </c>
      <c r="G1" s="1" t="s">
        <v>703</v>
      </c>
      <c r="H1" s="1" t="s">
        <v>964</v>
      </c>
      <c r="I1" s="10" t="s">
        <v>966</v>
      </c>
      <c r="J1" s="11" t="s">
        <v>722</v>
      </c>
      <c r="K1" s="8" t="s">
        <v>711</v>
      </c>
      <c r="L1" s="8" t="s">
        <v>32</v>
      </c>
      <c r="M1" s="8" t="s">
        <v>710</v>
      </c>
      <c r="N1" s="8" t="s">
        <v>712</v>
      </c>
      <c r="O1" s="8" t="s">
        <v>14</v>
      </c>
      <c r="P1" s="8" t="s">
        <v>713</v>
      </c>
      <c r="Q1" s="8" t="s">
        <v>714</v>
      </c>
      <c r="R1" s="8" t="s">
        <v>715</v>
      </c>
      <c r="S1" s="8" t="s">
        <v>716</v>
      </c>
      <c r="T1" s="8" t="s">
        <v>717</v>
      </c>
      <c r="U1" s="8" t="s">
        <v>718</v>
      </c>
      <c r="V1" s="8" t="s">
        <v>719</v>
      </c>
      <c r="W1" s="8" t="s">
        <v>720</v>
      </c>
      <c r="X1" s="8" t="s">
        <v>46</v>
      </c>
      <c r="Y1" s="8" t="s">
        <v>721</v>
      </c>
      <c r="Z1" s="1" t="s">
        <v>673</v>
      </c>
      <c r="AA1"/>
      <c r="AC1"/>
      <c r="AE1"/>
      <c r="AG1"/>
      <c r="AJ1"/>
      <c r="AK1"/>
    </row>
    <row r="2" spans="1:37" x14ac:dyDescent="0.2">
      <c r="A2" s="2" t="s">
        <v>365</v>
      </c>
      <c r="B2" s="2" t="s">
        <v>431</v>
      </c>
      <c r="C2" s="2" t="s">
        <v>150</v>
      </c>
      <c r="D2" s="2" t="s">
        <v>963</v>
      </c>
      <c r="E2" s="2">
        <v>1.1000000000000001</v>
      </c>
      <c r="F2" s="2" t="str">
        <f>VLOOKUP($B2,'Schema Import'!$A$2:$C$183,3,FALSE)</f>
        <v>1.1</v>
      </c>
      <c r="G2" s="2" t="s">
        <v>704</v>
      </c>
      <c r="H2" s="2" t="s">
        <v>951</v>
      </c>
      <c r="I2" s="5">
        <v>1</v>
      </c>
      <c r="J2" s="5">
        <f>COUNTIF(Table1[[#This Row],[Management Zone]:[AWS Credentials]],"*")</f>
        <v>0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2"/>
      <c r="AA2"/>
      <c r="AC2"/>
      <c r="AE2"/>
      <c r="AG2"/>
      <c r="AJ2"/>
      <c r="AK2"/>
    </row>
    <row r="3" spans="1:37" x14ac:dyDescent="0.2">
      <c r="A3" s="2" t="s">
        <v>411</v>
      </c>
      <c r="B3" s="3" t="s">
        <v>483</v>
      </c>
      <c r="C3" s="2" t="s">
        <v>196</v>
      </c>
      <c r="D3" s="2" t="s">
        <v>963</v>
      </c>
      <c r="E3" s="2">
        <v>1</v>
      </c>
      <c r="F3" s="2" t="str">
        <f>VLOOKUP($B3,'Schema Import'!$A$2:$C$183,3,FALSE)</f>
        <v>1</v>
      </c>
      <c r="G3" s="2" t="s">
        <v>704</v>
      </c>
      <c r="H3" s="2" t="s">
        <v>951</v>
      </c>
      <c r="I3" s="5">
        <v>1</v>
      </c>
      <c r="J3" s="5">
        <f>COUNTIF(Table1[[#This Row],[Management Zone]:[AWS Credentials]],"*")</f>
        <v>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3"/>
      <c r="AA3"/>
      <c r="AC3"/>
      <c r="AE3"/>
      <c r="AG3"/>
      <c r="AJ3"/>
      <c r="AK3"/>
    </row>
    <row r="4" spans="1:37" x14ac:dyDescent="0.2">
      <c r="A4" s="2" t="s">
        <v>362</v>
      </c>
      <c r="B4" s="3" t="s">
        <v>504</v>
      </c>
      <c r="C4" s="2" t="s">
        <v>147</v>
      </c>
      <c r="D4" s="2" t="s">
        <v>963</v>
      </c>
      <c r="E4" s="2">
        <v>1</v>
      </c>
      <c r="F4" s="2" t="str">
        <f>VLOOKUP($B4,'Schema Import'!$A$2:$C$183,3,FALSE)</f>
        <v>1</v>
      </c>
      <c r="G4" s="2" t="s">
        <v>704</v>
      </c>
      <c r="H4" s="2" t="s">
        <v>951</v>
      </c>
      <c r="I4" s="5">
        <v>1</v>
      </c>
      <c r="J4" s="5">
        <f>COUNTIF(Table1[[#This Row],[Management Zone]:[AWS Credentials]],"*")</f>
        <v>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3"/>
      <c r="AA4"/>
      <c r="AC4"/>
      <c r="AE4"/>
      <c r="AG4"/>
      <c r="AJ4"/>
      <c r="AK4"/>
    </row>
    <row r="5" spans="1:37" x14ac:dyDescent="0.2">
      <c r="A5" s="2" t="s">
        <v>246</v>
      </c>
      <c r="B5" s="3" t="s">
        <v>665</v>
      </c>
      <c r="C5" s="2" t="s">
        <v>32</v>
      </c>
      <c r="D5" s="2" t="s">
        <v>963</v>
      </c>
      <c r="E5" s="2" t="s">
        <v>666</v>
      </c>
      <c r="F5" s="2" t="str">
        <f>VLOOKUP($B5,'Schema Import'!$A$2:$C$183,3,FALSE)</f>
        <v>8.2</v>
      </c>
      <c r="G5" s="2" t="s">
        <v>704</v>
      </c>
      <c r="H5" s="2" t="s">
        <v>951</v>
      </c>
      <c r="I5" s="5">
        <v>2</v>
      </c>
      <c r="J5" s="5">
        <f>COUNTIF(Table1[[#This Row],[Management Zone]:[AWS Credentials]],"*")</f>
        <v>1</v>
      </c>
      <c r="K5" s="5" t="s">
        <v>709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3" t="s">
        <v>977</v>
      </c>
      <c r="AA5"/>
      <c r="AC5"/>
      <c r="AE5"/>
      <c r="AG5"/>
      <c r="AJ5"/>
      <c r="AK5"/>
    </row>
    <row r="6" spans="1:37" x14ac:dyDescent="0.2">
      <c r="A6" s="2" t="s">
        <v>278</v>
      </c>
      <c r="B6" s="3" t="s">
        <v>627</v>
      </c>
      <c r="C6" s="2" t="s">
        <v>64</v>
      </c>
      <c r="D6" s="2" t="s">
        <v>971</v>
      </c>
      <c r="E6" s="2" t="s">
        <v>708</v>
      </c>
      <c r="F6" s="2" t="e">
        <f>VLOOKUP($B6,'Schema Import'!$A$2:$C$183,3,FALSE)</f>
        <v>#N/A</v>
      </c>
      <c r="G6" s="3" t="s">
        <v>705</v>
      </c>
      <c r="H6" s="2" t="s">
        <v>956</v>
      </c>
      <c r="I6" s="2" t="s">
        <v>708</v>
      </c>
      <c r="J6" s="3">
        <f>COUNTIF(Table1[[#This Row],[Management Zone]:[AWS Credentials]],"*")</f>
        <v>1</v>
      </c>
      <c r="K6" s="6" t="s">
        <v>709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3" t="s">
        <v>976</v>
      </c>
      <c r="AA6"/>
      <c r="AC6"/>
      <c r="AE6"/>
      <c r="AG6"/>
      <c r="AJ6"/>
      <c r="AK6"/>
    </row>
    <row r="7" spans="1:37" x14ac:dyDescent="0.2">
      <c r="A7" s="2" t="s">
        <v>237</v>
      </c>
      <c r="B7" s="3" t="s">
        <v>685</v>
      </c>
      <c r="C7" s="2" t="s">
        <v>23</v>
      </c>
      <c r="D7" s="2" t="s">
        <v>963</v>
      </c>
      <c r="E7" s="2" t="s">
        <v>686</v>
      </c>
      <c r="F7" s="2" t="str">
        <f>VLOOKUP($B7,'Schema Import'!$A$2:$C$183,3,FALSE)</f>
        <v>1.4.8</v>
      </c>
      <c r="G7" s="2" t="s">
        <v>704</v>
      </c>
      <c r="H7" s="2" t="s">
        <v>951</v>
      </c>
      <c r="I7" s="5">
        <v>3</v>
      </c>
      <c r="J7" s="5">
        <f>COUNTIF(Table1[[#This Row],[Management Zone]:[AWS Credentials]],"*")</f>
        <v>1</v>
      </c>
      <c r="K7" s="5"/>
      <c r="L7" s="5" t="s">
        <v>709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2" t="s">
        <v>674</v>
      </c>
      <c r="AA7"/>
      <c r="AC7"/>
      <c r="AE7"/>
      <c r="AG7"/>
      <c r="AJ7"/>
      <c r="AK7"/>
    </row>
    <row r="8" spans="1:37" x14ac:dyDescent="0.2">
      <c r="A8" s="2" t="s">
        <v>389</v>
      </c>
      <c r="B8" s="3" t="s">
        <v>455</v>
      </c>
      <c r="C8" s="2" t="s">
        <v>174</v>
      </c>
      <c r="D8" s="2" t="s">
        <v>963</v>
      </c>
      <c r="E8" s="2" t="s">
        <v>456</v>
      </c>
      <c r="F8" s="2" t="str">
        <f>VLOOKUP($B8,'Schema Import'!$A$2:$C$183,3,FALSE)</f>
        <v>3.1.2</v>
      </c>
      <c r="G8" s="2" t="s">
        <v>704</v>
      </c>
      <c r="H8" s="2" t="s">
        <v>951</v>
      </c>
      <c r="I8" s="5">
        <v>1</v>
      </c>
      <c r="J8" s="5">
        <f>COUNTIF(Table1[[#This Row],[Management Zone]:[AWS Credentials]],"*")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3"/>
      <c r="AA8"/>
      <c r="AC8"/>
      <c r="AE8"/>
      <c r="AG8"/>
      <c r="AJ8"/>
      <c r="AK8"/>
    </row>
    <row r="9" spans="1:37" x14ac:dyDescent="0.2">
      <c r="A9" s="2" t="s">
        <v>218</v>
      </c>
      <c r="B9" s="3" t="s">
        <v>629</v>
      </c>
      <c r="C9" s="2" t="s">
        <v>4</v>
      </c>
      <c r="D9" s="2" t="s">
        <v>972</v>
      </c>
      <c r="E9" s="2" t="s">
        <v>708</v>
      </c>
      <c r="F9" s="2" t="e">
        <f>VLOOKUP($B9,'Schema Import'!$A$2:$C$183,3,FALSE)</f>
        <v>#N/A</v>
      </c>
      <c r="G9" s="3" t="s">
        <v>705</v>
      </c>
      <c r="H9" s="2" t="s">
        <v>956</v>
      </c>
      <c r="I9" s="5">
        <v>1</v>
      </c>
      <c r="J9" s="6">
        <f>COUNTIF(Table1[[#This Row],[Management Zone]:[AWS Credentials]],"*")</f>
        <v>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3" t="s">
        <v>1004</v>
      </c>
      <c r="AA9"/>
      <c r="AC9"/>
      <c r="AE9"/>
      <c r="AG9"/>
      <c r="AJ9"/>
      <c r="AK9"/>
    </row>
    <row r="10" spans="1:37" x14ac:dyDescent="0.2">
      <c r="A10" s="2" t="s">
        <v>274</v>
      </c>
      <c r="B10" s="3" t="s">
        <v>638</v>
      </c>
      <c r="C10" s="2" t="s">
        <v>60</v>
      </c>
      <c r="D10" s="2" t="s">
        <v>972</v>
      </c>
      <c r="E10" s="2" t="s">
        <v>708</v>
      </c>
      <c r="F10" s="2" t="e">
        <f>VLOOKUP($B10,'Schema Import'!$A$2:$C$183,3,FALSE)</f>
        <v>#N/A</v>
      </c>
      <c r="G10" s="3" t="s">
        <v>705</v>
      </c>
      <c r="H10" s="2" t="s">
        <v>957</v>
      </c>
      <c r="I10" s="5">
        <v>3</v>
      </c>
      <c r="J10" s="6">
        <f>COUNTIF(Table1[[#This Row],[Management Zone]:[AWS Credentials]],"*")</f>
        <v>1</v>
      </c>
      <c r="K10" s="6"/>
      <c r="L10" s="6"/>
      <c r="M10" s="6"/>
      <c r="N10" s="6"/>
      <c r="O10" s="6"/>
      <c r="P10" s="6" t="s">
        <v>709</v>
      </c>
      <c r="Q10" s="6"/>
      <c r="R10" s="6"/>
      <c r="S10" s="6"/>
      <c r="T10" s="6"/>
      <c r="U10" s="6"/>
      <c r="V10" s="6"/>
      <c r="W10" s="6"/>
      <c r="X10" s="6"/>
      <c r="Y10" s="6"/>
      <c r="Z10" s="3" t="s">
        <v>975</v>
      </c>
      <c r="AA10"/>
      <c r="AC10"/>
      <c r="AE10"/>
      <c r="AG10"/>
      <c r="AJ10"/>
      <c r="AK10"/>
    </row>
    <row r="11" spans="1:37" x14ac:dyDescent="0.2">
      <c r="A11" s="2" t="s">
        <v>272</v>
      </c>
      <c r="B11" s="3" t="s">
        <v>639</v>
      </c>
      <c r="C11" s="2" t="s">
        <v>58</v>
      </c>
      <c r="D11" s="2" t="s">
        <v>963</v>
      </c>
      <c r="E11" s="2" t="s">
        <v>708</v>
      </c>
      <c r="F11" s="2" t="e">
        <f>VLOOKUP($B11,'Schema Import'!$A$2:$C$183,3,FALSE)</f>
        <v>#N/A</v>
      </c>
      <c r="G11" s="3" t="s">
        <v>705</v>
      </c>
      <c r="H11" s="2" t="s">
        <v>956</v>
      </c>
      <c r="I11" s="5">
        <v>3</v>
      </c>
      <c r="J11" s="6">
        <f>COUNTIF(Table1[[#This Row],[Management Zone]:[AWS Credentials]],"*")</f>
        <v>1</v>
      </c>
      <c r="K11" s="6"/>
      <c r="L11" s="6"/>
      <c r="M11" s="6"/>
      <c r="N11" s="6"/>
      <c r="O11" s="6"/>
      <c r="P11" s="6" t="s">
        <v>709</v>
      </c>
      <c r="Q11" s="6"/>
      <c r="R11" s="6"/>
      <c r="S11" s="6"/>
      <c r="T11" s="6"/>
      <c r="U11" s="6"/>
      <c r="V11" s="6"/>
      <c r="W11" s="6"/>
      <c r="X11" s="6"/>
      <c r="Y11" s="6"/>
      <c r="Z11" s="3" t="s">
        <v>1007</v>
      </c>
      <c r="AA11"/>
      <c r="AC11"/>
      <c r="AE11"/>
      <c r="AG11"/>
      <c r="AJ11"/>
      <c r="AK11"/>
    </row>
    <row r="12" spans="1:37" x14ac:dyDescent="0.2">
      <c r="A12" s="2" t="s">
        <v>417</v>
      </c>
      <c r="B12" s="3" t="s">
        <v>587</v>
      </c>
      <c r="C12" s="2" t="s">
        <v>202</v>
      </c>
      <c r="D12" s="2" t="s">
        <v>1006</v>
      </c>
      <c r="E12" s="2" t="s">
        <v>582</v>
      </c>
      <c r="F12" s="2" t="str">
        <f>VLOOKUP($B12,'Schema Import'!$A$2:$C$183,3,FALSE)</f>
        <v>2.0.1</v>
      </c>
      <c r="G12" s="2" t="s">
        <v>704</v>
      </c>
      <c r="H12" s="2" t="s">
        <v>951</v>
      </c>
      <c r="I12" s="5">
        <v>3</v>
      </c>
      <c r="J12" s="5">
        <f>COUNTIF(Table1[[#This Row],[Management Zone]:[AWS Credentials]],"*")</f>
        <v>1</v>
      </c>
      <c r="K12" s="5"/>
      <c r="L12" s="5"/>
      <c r="M12" s="5"/>
      <c r="N12" s="5"/>
      <c r="O12" s="5"/>
      <c r="P12" s="5" t="s">
        <v>709</v>
      </c>
      <c r="Q12" s="5"/>
      <c r="R12" s="5"/>
      <c r="S12" s="5"/>
      <c r="T12" s="5"/>
      <c r="U12" s="5"/>
      <c r="V12" s="5"/>
      <c r="W12" s="5"/>
      <c r="X12" s="5"/>
      <c r="Y12" s="5"/>
      <c r="Z12" s="3" t="s">
        <v>1008</v>
      </c>
      <c r="AA12"/>
      <c r="AC12"/>
      <c r="AE12"/>
      <c r="AG12"/>
      <c r="AJ12"/>
      <c r="AK12"/>
    </row>
    <row r="13" spans="1:37" x14ac:dyDescent="0.2">
      <c r="A13" s="2" t="s">
        <v>273</v>
      </c>
      <c r="B13" s="3" t="s">
        <v>640</v>
      </c>
      <c r="C13" s="2" t="s">
        <v>59</v>
      </c>
      <c r="D13" s="2" t="s">
        <v>963</v>
      </c>
      <c r="E13" s="2" t="s">
        <v>708</v>
      </c>
      <c r="F13" s="2" t="e">
        <f>VLOOKUP($B13,'Schema Import'!$A$2:$C$183,3,FALSE)</f>
        <v>#N/A</v>
      </c>
      <c r="G13" s="3" t="s">
        <v>705</v>
      </c>
      <c r="H13" s="2" t="s">
        <v>956</v>
      </c>
      <c r="I13" s="5">
        <v>3</v>
      </c>
      <c r="J13" s="6">
        <f>COUNTIF(Table1[[#This Row],[Management Zone]:[AWS Credentials]],"*")</f>
        <v>1</v>
      </c>
      <c r="K13" s="6"/>
      <c r="L13" s="6"/>
      <c r="M13" s="6"/>
      <c r="N13" s="6"/>
      <c r="O13" s="6"/>
      <c r="P13" s="6" t="s">
        <v>709</v>
      </c>
      <c r="Q13" s="6"/>
      <c r="R13" s="6"/>
      <c r="S13" s="6"/>
      <c r="T13" s="6"/>
      <c r="U13" s="6"/>
      <c r="V13" s="6"/>
      <c r="W13" s="6"/>
      <c r="X13" s="6"/>
      <c r="Y13" s="6"/>
      <c r="Z13" s="3" t="s">
        <v>1005</v>
      </c>
      <c r="AA13"/>
      <c r="AC13"/>
      <c r="AE13"/>
      <c r="AG13"/>
      <c r="AJ13"/>
      <c r="AK13"/>
    </row>
    <row r="14" spans="1:37" x14ac:dyDescent="0.2">
      <c r="A14" s="2" t="s">
        <v>366</v>
      </c>
      <c r="B14" s="3" t="s">
        <v>457</v>
      </c>
      <c r="C14" s="2" t="s">
        <v>151</v>
      </c>
      <c r="D14" s="2" t="s">
        <v>963</v>
      </c>
      <c r="E14" s="2">
        <v>1</v>
      </c>
      <c r="F14" s="2" t="str">
        <f>VLOOKUP($B14,'Schema Import'!$A$2:$C$183,3,FALSE)</f>
        <v>1</v>
      </c>
      <c r="G14" s="2" t="s">
        <v>704</v>
      </c>
      <c r="H14" s="2" t="s">
        <v>951</v>
      </c>
      <c r="I14" s="5">
        <v>1</v>
      </c>
      <c r="J14" s="5">
        <f>COUNTIF(Table1[[#This Row],[Management Zone]:[AWS Credentials]],"*")</f>
        <v>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3"/>
      <c r="AA14"/>
      <c r="AC14"/>
      <c r="AE14"/>
      <c r="AG14"/>
      <c r="AJ14"/>
      <c r="AK14"/>
    </row>
    <row r="15" spans="1:37" x14ac:dyDescent="0.2">
      <c r="A15" s="2" t="s">
        <v>430</v>
      </c>
      <c r="B15" s="3" t="s">
        <v>641</v>
      </c>
      <c r="C15" s="2" t="s">
        <v>0</v>
      </c>
      <c r="D15" s="2" t="s">
        <v>972</v>
      </c>
      <c r="E15" s="2" t="s">
        <v>708</v>
      </c>
      <c r="F15" s="2" t="e">
        <f>VLOOKUP($B15,'Schema Import'!$A$2:$C$183,3,FALSE)</f>
        <v>#N/A</v>
      </c>
      <c r="G15" s="3" t="s">
        <v>705</v>
      </c>
      <c r="H15" s="2" t="s">
        <v>956</v>
      </c>
      <c r="I15" s="5">
        <v>1</v>
      </c>
      <c r="J15" s="6">
        <f>COUNTIF(Table1[[#This Row],[Management Zone]:[AWS Credentials]],"*")</f>
        <v>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3" t="s">
        <v>978</v>
      </c>
      <c r="AA15"/>
      <c r="AC15"/>
      <c r="AE15"/>
      <c r="AG15"/>
      <c r="AJ15"/>
      <c r="AK15"/>
    </row>
    <row r="16" spans="1:37" x14ac:dyDescent="0.2">
      <c r="A16" s="2" t="s">
        <v>215</v>
      </c>
      <c r="B16" s="3" t="s">
        <v>618</v>
      </c>
      <c r="C16" s="2" t="s">
        <v>1</v>
      </c>
      <c r="D16" s="2" t="s">
        <v>963</v>
      </c>
      <c r="E16" s="2" t="s">
        <v>619</v>
      </c>
      <c r="F16" s="2" t="str">
        <f>VLOOKUP($B16,'Schema Import'!$A$2:$C$183,3,FALSE)</f>
        <v>1.0.11</v>
      </c>
      <c r="G16" s="2" t="s">
        <v>704</v>
      </c>
      <c r="H16" s="2" t="s">
        <v>951</v>
      </c>
      <c r="I16" s="5">
        <v>1</v>
      </c>
      <c r="J16" s="5">
        <f>COUNTIF(Table1[[#This Row],[Management Zone]:[AWS Credentials]],"*")</f>
        <v>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3" t="s">
        <v>979</v>
      </c>
      <c r="AA16"/>
      <c r="AC16"/>
      <c r="AE16"/>
      <c r="AG16"/>
      <c r="AJ16"/>
      <c r="AK16"/>
    </row>
    <row r="17" spans="1:37" x14ac:dyDescent="0.2">
      <c r="A17" s="2" t="s">
        <v>421</v>
      </c>
      <c r="B17" s="3" t="s">
        <v>437</v>
      </c>
      <c r="C17" s="2" t="s">
        <v>206</v>
      </c>
      <c r="D17" s="2" t="s">
        <v>963</v>
      </c>
      <c r="E17" s="3" t="s">
        <v>438</v>
      </c>
      <c r="F17" s="2" t="str">
        <f>VLOOKUP($B17,'Schema Import'!$A$2:$C$183,3,FALSE)</f>
        <v>1.0.1</v>
      </c>
      <c r="G17" s="2" t="s">
        <v>704</v>
      </c>
      <c r="H17" s="2" t="s">
        <v>951</v>
      </c>
      <c r="I17" s="5">
        <v>1</v>
      </c>
      <c r="J17" s="5">
        <f>COUNTIF(Table1[[#This Row],[Management Zone]:[AWS Credentials]],"*")</f>
        <v>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3"/>
      <c r="AA17"/>
      <c r="AC17"/>
      <c r="AE17"/>
      <c r="AG17"/>
      <c r="AJ17"/>
      <c r="AK17"/>
    </row>
    <row r="18" spans="1:37" x14ac:dyDescent="0.2">
      <c r="A18" s="2" t="s">
        <v>256</v>
      </c>
      <c r="B18" s="3" t="s">
        <v>642</v>
      </c>
      <c r="C18" s="2" t="s">
        <v>42</v>
      </c>
      <c r="D18" s="2" t="s">
        <v>963</v>
      </c>
      <c r="E18" s="2" t="s">
        <v>708</v>
      </c>
      <c r="F18" s="2" t="e">
        <f>VLOOKUP($B18,'Schema Import'!$A$2:$C$183,3,FALSE)</f>
        <v>#N/A</v>
      </c>
      <c r="G18" s="3" t="s">
        <v>705</v>
      </c>
      <c r="H18" s="2" t="s">
        <v>956</v>
      </c>
      <c r="I18" s="5">
        <v>1</v>
      </c>
      <c r="J18" s="6">
        <f>COUNTIF(Table1[[#This Row],[Management Zone]:[AWS Credentials]],"*")</f>
        <v>1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 t="s">
        <v>709</v>
      </c>
      <c r="Z18" s="3"/>
      <c r="AA18"/>
      <c r="AC18"/>
      <c r="AE18"/>
      <c r="AG18"/>
      <c r="AJ18"/>
      <c r="AK18"/>
    </row>
    <row r="19" spans="1:37" x14ac:dyDescent="0.2">
      <c r="A19" s="2" t="s">
        <v>257</v>
      </c>
      <c r="B19" s="3" t="s">
        <v>643</v>
      </c>
      <c r="C19" s="2" t="s">
        <v>43</v>
      </c>
      <c r="D19" s="2" t="s">
        <v>963</v>
      </c>
      <c r="E19" s="2" t="s">
        <v>708</v>
      </c>
      <c r="F19" s="2" t="e">
        <f>VLOOKUP($B19,'Schema Import'!$A$2:$C$183,3,FALSE)</f>
        <v>#N/A</v>
      </c>
      <c r="G19" s="3" t="s">
        <v>705</v>
      </c>
      <c r="H19" s="2" t="s">
        <v>956</v>
      </c>
      <c r="I19" s="5">
        <v>1</v>
      </c>
      <c r="J19" s="6">
        <f>COUNTIF(Table1[[#This Row],[Management Zone]:[AWS Credentials]],"*")</f>
        <v>0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3"/>
      <c r="AA19"/>
      <c r="AC19"/>
      <c r="AE19"/>
      <c r="AG19"/>
      <c r="AJ19"/>
      <c r="AK19"/>
    </row>
    <row r="20" spans="1:37" x14ac:dyDescent="0.2">
      <c r="A20" s="2" t="s">
        <v>269</v>
      </c>
      <c r="B20" s="3" t="s">
        <v>663</v>
      </c>
      <c r="C20" s="2" t="s">
        <v>55</v>
      </c>
      <c r="D20" s="2" t="s">
        <v>963</v>
      </c>
      <c r="E20" s="2" t="s">
        <v>708</v>
      </c>
      <c r="F20" s="2" t="e">
        <f>VLOOKUP($B20,'Schema Import'!$A$2:$C$183,3,FALSE)</f>
        <v>#N/A</v>
      </c>
      <c r="G20" s="3" t="s">
        <v>958</v>
      </c>
      <c r="H20" s="2" t="s">
        <v>959</v>
      </c>
      <c r="I20" s="5">
        <v>3</v>
      </c>
      <c r="J20" s="6">
        <f>COUNTIF(Table1[[#This Row],[Management Zone]:[AWS Credentials]],"*")</f>
        <v>3</v>
      </c>
      <c r="K20" s="6"/>
      <c r="L20" s="6"/>
      <c r="M20" s="6"/>
      <c r="N20" s="6"/>
      <c r="O20" s="6"/>
      <c r="P20" s="6" t="s">
        <v>709</v>
      </c>
      <c r="Q20" s="6"/>
      <c r="R20" s="6"/>
      <c r="S20" s="6"/>
      <c r="T20" s="6" t="s">
        <v>709</v>
      </c>
      <c r="U20" s="6"/>
      <c r="V20" s="6"/>
      <c r="W20" s="6"/>
      <c r="X20" s="6" t="s">
        <v>709</v>
      </c>
      <c r="Y20" s="6"/>
      <c r="Z20" s="3"/>
      <c r="AA20"/>
      <c r="AC20"/>
      <c r="AE20"/>
      <c r="AG20"/>
      <c r="AJ20"/>
      <c r="AK20"/>
    </row>
    <row r="21" spans="1:37" x14ac:dyDescent="0.2">
      <c r="A21" s="2" t="s">
        <v>327</v>
      </c>
      <c r="B21" s="3" t="s">
        <v>612</v>
      </c>
      <c r="C21" s="2" t="s">
        <v>113</v>
      </c>
      <c r="D21" s="2" t="s">
        <v>963</v>
      </c>
      <c r="E21" s="2" t="s">
        <v>613</v>
      </c>
      <c r="F21" s="2" t="str">
        <f>VLOOKUP($B21,'Schema Import'!$A$2:$C$183,3,FALSE)</f>
        <v>1.3.2</v>
      </c>
      <c r="G21" s="2" t="s">
        <v>704</v>
      </c>
      <c r="H21" s="2" t="s">
        <v>951</v>
      </c>
      <c r="I21" s="5">
        <v>4</v>
      </c>
      <c r="J21" s="5">
        <f>COUNTIF(Table1[[#This Row],[Management Zone]:[AWS Credentials]],"*")</f>
        <v>1</v>
      </c>
      <c r="K21" s="5"/>
      <c r="L21" s="5"/>
      <c r="M21" s="5"/>
      <c r="N21" s="5"/>
      <c r="O21" s="5"/>
      <c r="P21" s="5"/>
      <c r="Q21" s="5"/>
      <c r="R21" s="5" t="s">
        <v>709</v>
      </c>
      <c r="S21" s="5"/>
      <c r="T21" s="5"/>
      <c r="U21" s="5"/>
      <c r="V21" s="5"/>
      <c r="W21" s="5"/>
      <c r="X21" s="5"/>
      <c r="Y21" s="5"/>
      <c r="Z21" s="3" t="s">
        <v>1015</v>
      </c>
      <c r="AA21"/>
      <c r="AC21"/>
      <c r="AE21"/>
      <c r="AG21"/>
      <c r="AJ21"/>
      <c r="AK21"/>
    </row>
    <row r="22" spans="1:37" x14ac:dyDescent="0.2">
      <c r="A22" s="2" t="s">
        <v>320</v>
      </c>
      <c r="B22" s="3" t="s">
        <v>614</v>
      </c>
      <c r="C22" s="2" t="s">
        <v>106</v>
      </c>
      <c r="D22" s="2" t="s">
        <v>963</v>
      </c>
      <c r="E22" s="2">
        <v>1.6</v>
      </c>
      <c r="F22" s="2" t="str">
        <f>VLOOKUP($B22,'Schema Import'!$A$2:$C$183,3,FALSE)</f>
        <v>1.6</v>
      </c>
      <c r="G22" s="2" t="s">
        <v>704</v>
      </c>
      <c r="H22" s="2" t="s">
        <v>951</v>
      </c>
      <c r="I22" s="5">
        <v>4</v>
      </c>
      <c r="J22" s="5">
        <f>COUNTIF(Table1[[#This Row],[Management Zone]:[AWS Credentials]],"*")</f>
        <v>1</v>
      </c>
      <c r="K22" s="5"/>
      <c r="L22" s="5"/>
      <c r="M22" s="5"/>
      <c r="N22" s="5"/>
      <c r="O22" s="5"/>
      <c r="P22" s="5"/>
      <c r="Q22" s="5"/>
      <c r="R22" s="5" t="s">
        <v>709</v>
      </c>
      <c r="S22" s="5"/>
      <c r="T22" s="5"/>
      <c r="U22" s="5"/>
      <c r="V22" s="5"/>
      <c r="W22" s="5"/>
      <c r="X22" s="5"/>
      <c r="Y22" s="5"/>
      <c r="Z22" s="3" t="s">
        <v>1015</v>
      </c>
      <c r="AA22"/>
      <c r="AC22"/>
      <c r="AE22"/>
      <c r="AG22"/>
      <c r="AJ22"/>
      <c r="AK22"/>
    </row>
    <row r="23" spans="1:37" x14ac:dyDescent="0.2">
      <c r="A23" s="2" t="s">
        <v>424</v>
      </c>
      <c r="B23" s="3" t="s">
        <v>459</v>
      </c>
      <c r="C23" s="2" t="s">
        <v>209</v>
      </c>
      <c r="D23" s="2" t="s">
        <v>963</v>
      </c>
      <c r="E23" s="2" t="s">
        <v>460</v>
      </c>
      <c r="F23" s="2" t="str">
        <f>VLOOKUP($B23,'Schema Import'!$A$2:$C$183,3,FALSE)</f>
        <v>1.0.3</v>
      </c>
      <c r="G23" s="2" t="s">
        <v>704</v>
      </c>
      <c r="H23" s="2" t="s">
        <v>951</v>
      </c>
      <c r="I23" s="5">
        <v>1</v>
      </c>
      <c r="J23" s="5">
        <f>COUNTIF(Table1[[#This Row],[Management Zone]:[AWS Credentials]],"*")</f>
        <v>0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3"/>
      <c r="AA23"/>
      <c r="AC23"/>
      <c r="AE23"/>
      <c r="AG23"/>
      <c r="AJ23"/>
      <c r="AK23"/>
    </row>
    <row r="24" spans="1:37" x14ac:dyDescent="0.2">
      <c r="A24" s="2" t="s">
        <v>425</v>
      </c>
      <c r="B24" s="3" t="s">
        <v>461</v>
      </c>
      <c r="C24" s="2" t="s">
        <v>210</v>
      </c>
      <c r="D24" s="2" t="s">
        <v>963</v>
      </c>
      <c r="E24" s="2" t="s">
        <v>438</v>
      </c>
      <c r="F24" s="2" t="str">
        <f>VLOOKUP($B24,'Schema Import'!$A$2:$C$183,3,FALSE)</f>
        <v>1.0.1</v>
      </c>
      <c r="G24" s="2" t="s">
        <v>704</v>
      </c>
      <c r="H24" s="2" t="s">
        <v>951</v>
      </c>
      <c r="I24" s="5">
        <v>1</v>
      </c>
      <c r="J24" s="5">
        <f>COUNTIF(Table1[[#This Row],[Management Zone]:[AWS Credentials]],"*")</f>
        <v>0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3"/>
      <c r="AA24"/>
      <c r="AC24"/>
      <c r="AE24"/>
      <c r="AG24"/>
      <c r="AJ24"/>
      <c r="AK24"/>
    </row>
    <row r="25" spans="1:37" x14ac:dyDescent="0.2">
      <c r="A25" s="2" t="s">
        <v>423</v>
      </c>
      <c r="B25" s="3" t="s">
        <v>458</v>
      </c>
      <c r="C25" s="2" t="s">
        <v>208</v>
      </c>
      <c r="D25" s="2" t="s">
        <v>963</v>
      </c>
      <c r="E25" s="2" t="s">
        <v>438</v>
      </c>
      <c r="F25" s="2" t="str">
        <f>VLOOKUP($B25,'Schema Import'!$A$2:$C$183,3,FALSE)</f>
        <v>1.0.1</v>
      </c>
      <c r="G25" s="2" t="s">
        <v>704</v>
      </c>
      <c r="H25" s="2" t="s">
        <v>951</v>
      </c>
      <c r="I25" s="5">
        <v>1</v>
      </c>
      <c r="J25" s="5">
        <f>COUNTIF(Table1[[#This Row],[Management Zone]:[AWS Credentials]],"*")</f>
        <v>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3"/>
      <c r="AA25"/>
      <c r="AC25"/>
      <c r="AE25"/>
      <c r="AG25"/>
      <c r="AJ25"/>
      <c r="AK25"/>
    </row>
    <row r="26" spans="1:37" x14ac:dyDescent="0.2">
      <c r="A26" s="2" t="s">
        <v>426</v>
      </c>
      <c r="B26" s="3" t="s">
        <v>462</v>
      </c>
      <c r="C26" s="2" t="s">
        <v>211</v>
      </c>
      <c r="D26" s="2" t="s">
        <v>963</v>
      </c>
      <c r="E26" s="2" t="s">
        <v>463</v>
      </c>
      <c r="F26" s="2" t="str">
        <f>VLOOKUP($B26,'Schema Import'!$A$2:$C$183,3,FALSE)</f>
        <v>1.0.6</v>
      </c>
      <c r="G26" s="2" t="s">
        <v>704</v>
      </c>
      <c r="H26" s="2" t="s">
        <v>951</v>
      </c>
      <c r="I26" s="5">
        <v>1</v>
      </c>
      <c r="J26" s="5">
        <f>COUNTIF(Table1[[#This Row],[Management Zone]:[AWS Credentials]],"*")</f>
        <v>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3"/>
      <c r="AA26"/>
      <c r="AC26"/>
      <c r="AE26"/>
      <c r="AG26"/>
      <c r="AJ26"/>
      <c r="AK26"/>
    </row>
    <row r="27" spans="1:37" x14ac:dyDescent="0.2">
      <c r="A27" s="2" t="s">
        <v>263</v>
      </c>
      <c r="B27" s="3" t="s">
        <v>653</v>
      </c>
      <c r="C27" s="2" t="s">
        <v>49</v>
      </c>
      <c r="D27" s="2" t="s">
        <v>963</v>
      </c>
      <c r="E27" s="2" t="s">
        <v>708</v>
      </c>
      <c r="F27" s="2" t="e">
        <f>VLOOKUP($B27,'Schema Import'!$A$2:$C$183,3,FALSE)</f>
        <v>#N/A</v>
      </c>
      <c r="G27" s="3" t="s">
        <v>705</v>
      </c>
      <c r="H27" s="2" t="s">
        <v>956</v>
      </c>
      <c r="I27" s="5">
        <v>2</v>
      </c>
      <c r="J27" s="6">
        <f>COUNTIF(Table1[[#This Row],[Management Zone]:[AWS Credentials]],"*")</f>
        <v>2</v>
      </c>
      <c r="K27" s="6" t="s">
        <v>709</v>
      </c>
      <c r="L27" s="6"/>
      <c r="M27" s="6" t="s">
        <v>709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3"/>
      <c r="AA27"/>
      <c r="AC27"/>
      <c r="AE27"/>
      <c r="AG27"/>
      <c r="AJ27"/>
      <c r="AK27"/>
    </row>
    <row r="28" spans="1:37" x14ac:dyDescent="0.2">
      <c r="A28" s="2" t="s">
        <v>419</v>
      </c>
      <c r="B28" s="3" t="s">
        <v>464</v>
      </c>
      <c r="C28" s="2" t="s">
        <v>204</v>
      </c>
      <c r="D28" s="2" t="s">
        <v>963</v>
      </c>
      <c r="E28" s="2" t="s">
        <v>465</v>
      </c>
      <c r="F28" s="2" t="str">
        <f>VLOOKUP($B28,'Schema Import'!$A$2:$C$183,3,FALSE)</f>
        <v>1.0.4</v>
      </c>
      <c r="G28" s="2" t="s">
        <v>704</v>
      </c>
      <c r="H28" s="2" t="s">
        <v>951</v>
      </c>
      <c r="I28" s="5">
        <v>1</v>
      </c>
      <c r="J28" s="5">
        <f>COUNTIF(Table1[[#This Row],[Management Zone]:[AWS Credentials]],"*")</f>
        <v>0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3" t="s">
        <v>981</v>
      </c>
      <c r="AA28"/>
      <c r="AC28"/>
      <c r="AE28"/>
      <c r="AG28"/>
      <c r="AJ28"/>
      <c r="AK28"/>
    </row>
    <row r="29" spans="1:37" x14ac:dyDescent="0.2">
      <c r="A29" s="2" t="s">
        <v>329</v>
      </c>
      <c r="B29" s="3" t="s">
        <v>566</v>
      </c>
      <c r="C29" s="2" t="s">
        <v>115</v>
      </c>
      <c r="D29" s="2" t="s">
        <v>963</v>
      </c>
      <c r="E29" s="2">
        <v>1.4</v>
      </c>
      <c r="F29" s="2" t="str">
        <f>VLOOKUP($B29,'Schema Import'!$A$2:$C$183,3,FALSE)</f>
        <v>1.4</v>
      </c>
      <c r="G29" s="2" t="s">
        <v>704</v>
      </c>
      <c r="H29" s="2" t="s">
        <v>951</v>
      </c>
      <c r="I29" s="5">
        <v>1</v>
      </c>
      <c r="J29" s="5">
        <f>COUNTIF(Table1[[#This Row],[Management Zone]:[AWS Credentials]],"*")</f>
        <v>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3"/>
      <c r="AA29"/>
      <c r="AC29"/>
      <c r="AE29"/>
      <c r="AG29"/>
      <c r="AJ29"/>
      <c r="AK29"/>
    </row>
    <row r="30" spans="1:37" x14ac:dyDescent="0.2">
      <c r="A30" s="2" t="s">
        <v>258</v>
      </c>
      <c r="B30" s="3" t="s">
        <v>644</v>
      </c>
      <c r="C30" s="2" t="s">
        <v>44</v>
      </c>
      <c r="D30" s="2" t="s">
        <v>972</v>
      </c>
      <c r="E30" s="2" t="s">
        <v>708</v>
      </c>
      <c r="F30" s="2" t="e">
        <f>VLOOKUP($B30,'Schema Import'!$A$2:$C$183,3,FALSE)</f>
        <v>#N/A</v>
      </c>
      <c r="G30" s="3" t="s">
        <v>705</v>
      </c>
      <c r="H30" s="2" t="s">
        <v>956</v>
      </c>
      <c r="I30" s="5">
        <v>1</v>
      </c>
      <c r="J30" s="6">
        <f>COUNTIF(Table1[[#This Row],[Management Zone]:[AWS Credentials]],"*")</f>
        <v>0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3" t="s">
        <v>980</v>
      </c>
      <c r="AA30"/>
      <c r="AC30"/>
      <c r="AE30"/>
      <c r="AG30"/>
      <c r="AJ30"/>
      <c r="AK30"/>
    </row>
    <row r="31" spans="1:37" x14ac:dyDescent="0.2">
      <c r="A31" s="2" t="s">
        <v>303</v>
      </c>
      <c r="B31" s="3" t="s">
        <v>432</v>
      </c>
      <c r="C31" s="2" t="s">
        <v>89</v>
      </c>
      <c r="D31" s="2" t="s">
        <v>963</v>
      </c>
      <c r="E31" s="3">
        <v>1</v>
      </c>
      <c r="F31" s="2" t="str">
        <f>VLOOKUP($B31,'Schema Import'!$A$2:$C$183,3,FALSE)</f>
        <v>1</v>
      </c>
      <c r="G31" s="2" t="s">
        <v>704</v>
      </c>
      <c r="H31" s="2" t="s">
        <v>951</v>
      </c>
      <c r="I31" s="5">
        <v>1</v>
      </c>
      <c r="J31" s="5">
        <f>COUNTIF(Table1[[#This Row],[Management Zone]:[AWS Credentials]],"*")</f>
        <v>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3"/>
      <c r="AA31"/>
      <c r="AC31"/>
      <c r="AE31"/>
      <c r="AG31"/>
      <c r="AJ31"/>
      <c r="AK31"/>
    </row>
    <row r="32" spans="1:37" x14ac:dyDescent="0.2">
      <c r="A32" s="2" t="s">
        <v>371</v>
      </c>
      <c r="B32" s="3" t="s">
        <v>467</v>
      </c>
      <c r="C32" s="2" t="s">
        <v>156</v>
      </c>
      <c r="D32" s="2" t="s">
        <v>963</v>
      </c>
      <c r="E32" s="2" t="s">
        <v>468</v>
      </c>
      <c r="F32" s="2" t="str">
        <f>VLOOKUP($B32,'Schema Import'!$A$2:$C$183,3,FALSE)</f>
        <v>0.0.2</v>
      </c>
      <c r="G32" s="2" t="s">
        <v>704</v>
      </c>
      <c r="H32" s="2" t="s">
        <v>951</v>
      </c>
      <c r="I32" s="5">
        <v>1</v>
      </c>
      <c r="J32" s="5">
        <f>COUNTIF(Table1[[#This Row],[Management Zone]:[AWS Credentials]],"*")</f>
        <v>0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3"/>
      <c r="AA32"/>
      <c r="AC32"/>
      <c r="AE32"/>
      <c r="AG32"/>
      <c r="AJ32"/>
      <c r="AK32"/>
    </row>
    <row r="33" spans="1:37" x14ac:dyDescent="0.2">
      <c r="A33" s="2" t="s">
        <v>372</v>
      </c>
      <c r="B33" s="3" t="s">
        <v>469</v>
      </c>
      <c r="C33" s="2" t="s">
        <v>157</v>
      </c>
      <c r="D33" s="2" t="s">
        <v>963</v>
      </c>
      <c r="E33" s="2" t="s">
        <v>470</v>
      </c>
      <c r="F33" s="2" t="str">
        <f>VLOOKUP($B33,'Schema Import'!$A$2:$C$183,3,FALSE)</f>
        <v>0.0.1</v>
      </c>
      <c r="G33" s="2" t="s">
        <v>704</v>
      </c>
      <c r="H33" s="2" t="s">
        <v>951</v>
      </c>
      <c r="I33" s="5">
        <v>1</v>
      </c>
      <c r="J33" s="5">
        <f>COUNTIF(Table1[[#This Row],[Management Zone]:[AWS Credentials]],"*")</f>
        <v>0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3"/>
      <c r="AA33"/>
      <c r="AC33"/>
      <c r="AE33"/>
      <c r="AG33"/>
      <c r="AJ33"/>
      <c r="AK33"/>
    </row>
    <row r="34" spans="1:37" x14ac:dyDescent="0.2">
      <c r="A34" s="2" t="s">
        <v>373</v>
      </c>
      <c r="B34" s="3" t="s">
        <v>471</v>
      </c>
      <c r="C34" s="2" t="s">
        <v>158</v>
      </c>
      <c r="D34" s="2" t="s">
        <v>963</v>
      </c>
      <c r="E34" s="2" t="s">
        <v>472</v>
      </c>
      <c r="F34" s="2" t="str">
        <f>VLOOKUP($B34,'Schema Import'!$A$2:$C$183,3,FALSE)</f>
        <v>1.0.6</v>
      </c>
      <c r="G34" s="2" t="s">
        <v>704</v>
      </c>
      <c r="H34" s="2" t="s">
        <v>951</v>
      </c>
      <c r="I34" s="5">
        <v>1</v>
      </c>
      <c r="J34" s="5">
        <f>COUNTIF(Table1[[#This Row],[Management Zone]:[AWS Credentials]],"*")</f>
        <v>0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3"/>
      <c r="AA34"/>
      <c r="AC34"/>
      <c r="AE34"/>
      <c r="AG34"/>
      <c r="AJ34"/>
      <c r="AK34"/>
    </row>
    <row r="35" spans="1:37" x14ac:dyDescent="0.2">
      <c r="A35" s="2" t="s">
        <v>260</v>
      </c>
      <c r="B35" s="3" t="s">
        <v>646</v>
      </c>
      <c r="C35" s="2" t="s">
        <v>46</v>
      </c>
      <c r="D35" s="2" t="s">
        <v>963</v>
      </c>
      <c r="E35" s="2" t="s">
        <v>708</v>
      </c>
      <c r="F35" s="2" t="e">
        <f>VLOOKUP($B35,'Schema Import'!$A$2:$C$183,3,FALSE)</f>
        <v>#N/A</v>
      </c>
      <c r="G35" s="3" t="s">
        <v>707</v>
      </c>
      <c r="H35" s="2" t="s">
        <v>960</v>
      </c>
      <c r="I35" s="5">
        <v>1</v>
      </c>
      <c r="J35" s="6">
        <f>COUNTIF(Table1[[#This Row],[Management Zone]:[AWS Credentials]],"*")</f>
        <v>1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 t="s">
        <v>709</v>
      </c>
      <c r="Y35" s="6"/>
      <c r="Z35" s="3"/>
      <c r="AA35"/>
      <c r="AC35"/>
      <c r="AE35"/>
      <c r="AG35"/>
      <c r="AJ35"/>
      <c r="AK35"/>
    </row>
    <row r="36" spans="1:37" x14ac:dyDescent="0.2">
      <c r="A36" s="2" t="s">
        <v>223</v>
      </c>
      <c r="B36" s="3" t="s">
        <v>633</v>
      </c>
      <c r="C36" s="2" t="s">
        <v>9</v>
      </c>
      <c r="D36" s="2" t="s">
        <v>971</v>
      </c>
      <c r="E36" s="2" t="s">
        <v>708</v>
      </c>
      <c r="F36" s="2" t="e">
        <f>VLOOKUP($B36,'Schema Import'!$A$2:$C$183,3,FALSE)</f>
        <v>#N/A</v>
      </c>
      <c r="G36" s="3" t="s">
        <v>705</v>
      </c>
      <c r="H36" s="2" t="s">
        <v>956</v>
      </c>
      <c r="I36" s="2" t="s">
        <v>708</v>
      </c>
      <c r="J36" s="3">
        <f>COUNTIF(Table1[[#This Row],[Management Zone]:[AWS Credentials]],"*")</f>
        <v>1</v>
      </c>
      <c r="K36" s="6" t="s">
        <v>709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3" t="s">
        <v>982</v>
      </c>
      <c r="AA36"/>
      <c r="AC36"/>
      <c r="AE36"/>
      <c r="AG36"/>
      <c r="AJ36"/>
      <c r="AK36"/>
    </row>
    <row r="37" spans="1:37" x14ac:dyDescent="0.2">
      <c r="A37" s="2" t="s">
        <v>294</v>
      </c>
      <c r="B37" s="3" t="s">
        <v>450</v>
      </c>
      <c r="C37" s="2" t="s">
        <v>80</v>
      </c>
      <c r="D37" s="2" t="s">
        <v>963</v>
      </c>
      <c r="E37" s="2" t="s">
        <v>438</v>
      </c>
      <c r="F37" s="2" t="str">
        <f>VLOOKUP($B37,'Schema Import'!$A$2:$C$183,3,FALSE)</f>
        <v>1.0.1</v>
      </c>
      <c r="G37" s="2" t="s">
        <v>704</v>
      </c>
      <c r="H37" s="2" t="s">
        <v>951</v>
      </c>
      <c r="I37" s="5">
        <v>3</v>
      </c>
      <c r="J37" s="5">
        <f>COUNTIF(Table1[[#This Row],[Management Zone]:[AWS Credentials]],"*")</f>
        <v>1</v>
      </c>
      <c r="K37" s="5"/>
      <c r="L37" s="5"/>
      <c r="M37" s="5"/>
      <c r="N37" s="5"/>
      <c r="O37" s="5"/>
      <c r="P37" s="5"/>
      <c r="Q37" s="5" t="s">
        <v>709</v>
      </c>
      <c r="R37" s="5"/>
      <c r="S37" s="5"/>
      <c r="T37" s="5"/>
      <c r="U37" s="5"/>
      <c r="V37" s="5"/>
      <c r="W37" s="5"/>
      <c r="X37" s="5"/>
      <c r="Y37" s="5"/>
      <c r="Z37" s="3"/>
      <c r="AA37"/>
      <c r="AC37"/>
      <c r="AE37"/>
      <c r="AG37"/>
      <c r="AJ37"/>
      <c r="AK37"/>
    </row>
    <row r="38" spans="1:37" x14ac:dyDescent="0.2">
      <c r="A38" s="2" t="s">
        <v>295</v>
      </c>
      <c r="B38" s="3" t="s">
        <v>451</v>
      </c>
      <c r="C38" s="2" t="s">
        <v>81</v>
      </c>
      <c r="D38" s="2" t="s">
        <v>963</v>
      </c>
      <c r="E38" s="2" t="s">
        <v>438</v>
      </c>
      <c r="F38" s="2" t="str">
        <f>VLOOKUP($B38,'Schema Import'!$A$2:$C$183,3,FALSE)</f>
        <v>1.0.1</v>
      </c>
      <c r="G38" s="2" t="s">
        <v>704</v>
      </c>
      <c r="H38" s="2" t="s">
        <v>951</v>
      </c>
      <c r="I38" s="5">
        <v>3</v>
      </c>
      <c r="J38" s="5">
        <f>COUNTIF(Table1[[#This Row],[Management Zone]:[AWS Credentials]],"*")</f>
        <v>1</v>
      </c>
      <c r="K38" s="5"/>
      <c r="L38" s="5"/>
      <c r="M38" s="5"/>
      <c r="N38" s="5"/>
      <c r="O38" s="5"/>
      <c r="P38" s="5"/>
      <c r="Q38" s="5" t="s">
        <v>709</v>
      </c>
      <c r="R38" s="5"/>
      <c r="S38" s="5"/>
      <c r="T38" s="5"/>
      <c r="U38" s="5"/>
      <c r="V38" s="5"/>
      <c r="W38" s="5"/>
      <c r="X38" s="5"/>
      <c r="Y38" s="5"/>
      <c r="Z38" s="3" t="s">
        <v>1013</v>
      </c>
      <c r="AA38"/>
      <c r="AC38"/>
      <c r="AE38"/>
      <c r="AG38"/>
      <c r="AJ38"/>
      <c r="AK38"/>
    </row>
    <row r="39" spans="1:37" x14ac:dyDescent="0.2">
      <c r="A39" s="2" t="s">
        <v>308</v>
      </c>
      <c r="B39" s="3" t="s">
        <v>572</v>
      </c>
      <c r="C39" s="2" t="s">
        <v>94</v>
      </c>
      <c r="D39" s="2" t="s">
        <v>963</v>
      </c>
      <c r="E39" s="2" t="s">
        <v>573</v>
      </c>
      <c r="F39" s="2" t="str">
        <f>VLOOKUP($B39,'Schema Import'!$A$2:$C$183,3,FALSE)</f>
        <v>1.1.6</v>
      </c>
      <c r="G39" s="2" t="s">
        <v>704</v>
      </c>
      <c r="H39" s="2" t="s">
        <v>951</v>
      </c>
      <c r="I39" s="5">
        <v>3</v>
      </c>
      <c r="J39" s="5">
        <f>COUNTIF(Table1[[#This Row],[Management Zone]:[AWS Credentials]],"*")</f>
        <v>1</v>
      </c>
      <c r="K39" s="5"/>
      <c r="L39" s="5"/>
      <c r="M39" s="5"/>
      <c r="N39" s="5"/>
      <c r="O39" s="5"/>
      <c r="P39" s="5"/>
      <c r="Q39" s="5" t="s">
        <v>709</v>
      </c>
      <c r="R39" s="5"/>
      <c r="S39" s="5"/>
      <c r="T39" s="5"/>
      <c r="U39" s="5"/>
      <c r="V39" s="5"/>
      <c r="W39" s="5"/>
      <c r="X39" s="5"/>
      <c r="Y39" s="5"/>
      <c r="Z39" s="3" t="s">
        <v>1012</v>
      </c>
      <c r="AA39"/>
      <c r="AC39"/>
      <c r="AE39"/>
      <c r="AG39"/>
      <c r="AJ39"/>
      <c r="AK39"/>
    </row>
    <row r="40" spans="1:37" x14ac:dyDescent="0.2">
      <c r="A40" s="2" t="s">
        <v>216</v>
      </c>
      <c r="B40" s="3" t="s">
        <v>647</v>
      </c>
      <c r="C40" s="2" t="s">
        <v>2</v>
      </c>
      <c r="D40" s="2" t="s">
        <v>963</v>
      </c>
      <c r="E40" s="2" t="s">
        <v>708</v>
      </c>
      <c r="F40" s="2" t="e">
        <f>VLOOKUP($B40,'Schema Import'!$A$2:$C$183,3,FALSE)</f>
        <v>#N/A</v>
      </c>
      <c r="G40" s="3" t="s">
        <v>705</v>
      </c>
      <c r="H40" s="2" t="s">
        <v>956</v>
      </c>
      <c r="I40" s="5">
        <v>1</v>
      </c>
      <c r="J40" s="6">
        <f>COUNTIF(Table1[[#This Row],[Management Zone]:[AWS Credentials]],"*")</f>
        <v>0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3"/>
      <c r="AA40"/>
      <c r="AC40"/>
      <c r="AE40"/>
      <c r="AG40"/>
      <c r="AJ40"/>
      <c r="AK40"/>
    </row>
    <row r="41" spans="1:37" x14ac:dyDescent="0.2">
      <c r="A41" s="2" t="s">
        <v>401</v>
      </c>
      <c r="B41" s="3" t="s">
        <v>475</v>
      </c>
      <c r="C41" s="2" t="s">
        <v>186</v>
      </c>
      <c r="D41" s="2" t="s">
        <v>963</v>
      </c>
      <c r="E41" s="2">
        <v>0.3</v>
      </c>
      <c r="F41" s="2" t="str">
        <f>VLOOKUP($B41,'Schema Import'!$A$2:$C$183,3,FALSE)</f>
        <v>0.3</v>
      </c>
      <c r="G41" s="2" t="s">
        <v>704</v>
      </c>
      <c r="H41" s="2" t="s">
        <v>951</v>
      </c>
      <c r="I41" s="5">
        <v>1</v>
      </c>
      <c r="J41" s="5">
        <f>COUNTIF(Table1[[#This Row],[Management Zone]:[AWS Credentials]],"*")</f>
        <v>0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3"/>
      <c r="AA41"/>
      <c r="AC41"/>
      <c r="AE41"/>
      <c r="AG41"/>
      <c r="AJ41"/>
      <c r="AK41"/>
    </row>
    <row r="42" spans="1:37" x14ac:dyDescent="0.2">
      <c r="A42" s="2" t="s">
        <v>261</v>
      </c>
      <c r="B42" s="3" t="s">
        <v>648</v>
      </c>
      <c r="C42" s="2" t="s">
        <v>47</v>
      </c>
      <c r="D42" s="2" t="s">
        <v>972</v>
      </c>
      <c r="E42" s="2" t="s">
        <v>708</v>
      </c>
      <c r="F42" s="2" t="e">
        <f>VLOOKUP($B42,'Schema Import'!$A$2:$C$183,3,FALSE)</f>
        <v>#N/A</v>
      </c>
      <c r="G42" s="3" t="s">
        <v>705</v>
      </c>
      <c r="H42" s="2" t="s">
        <v>956</v>
      </c>
      <c r="I42" s="5">
        <v>5</v>
      </c>
      <c r="J42" s="6">
        <f>COUNTIF(Table1[[#This Row],[Management Zone]:[AWS Credentials]],"*")</f>
        <v>5</v>
      </c>
      <c r="K42" s="6" t="s">
        <v>709</v>
      </c>
      <c r="L42" s="6"/>
      <c r="M42" s="6"/>
      <c r="N42" s="6" t="s">
        <v>709</v>
      </c>
      <c r="O42" s="6" t="s">
        <v>709</v>
      </c>
      <c r="P42" s="6" t="s">
        <v>709</v>
      </c>
      <c r="Q42" s="6"/>
      <c r="R42" s="6"/>
      <c r="S42" s="6"/>
      <c r="T42" s="6" t="s">
        <v>709</v>
      </c>
      <c r="U42" s="6"/>
      <c r="V42" s="6"/>
      <c r="W42" s="6"/>
      <c r="X42" s="6"/>
      <c r="Y42" s="6"/>
      <c r="Z42" s="3" t="s">
        <v>984</v>
      </c>
      <c r="AA42"/>
      <c r="AC42"/>
      <c r="AE42"/>
      <c r="AG42"/>
      <c r="AJ42"/>
      <c r="AK42"/>
    </row>
    <row r="43" spans="1:37" x14ac:dyDescent="0.2">
      <c r="A43" s="2" t="s">
        <v>271</v>
      </c>
      <c r="B43" s="3" t="s">
        <v>649</v>
      </c>
      <c r="C43" s="2" t="s">
        <v>57</v>
      </c>
      <c r="D43" s="2" t="s">
        <v>1017</v>
      </c>
      <c r="E43" s="2" t="s">
        <v>708</v>
      </c>
      <c r="F43" s="2" t="e">
        <f>VLOOKUP($B43,'Schema Import'!$A$2:$C$183,3,FALSE)</f>
        <v>#N/A</v>
      </c>
      <c r="G43" s="3" t="s">
        <v>705</v>
      </c>
      <c r="H43" s="2" t="s">
        <v>956</v>
      </c>
      <c r="I43" s="5">
        <v>1</v>
      </c>
      <c r="J43" s="6">
        <f>COUNTIF(Table1[[#This Row],[Management Zone]:[AWS Credentials]],"*")</f>
        <v>0</v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3" t="s">
        <v>1019</v>
      </c>
      <c r="AA43"/>
      <c r="AC43"/>
      <c r="AE43"/>
      <c r="AG43"/>
      <c r="AJ43"/>
      <c r="AK43"/>
    </row>
    <row r="44" spans="1:37" x14ac:dyDescent="0.2">
      <c r="A44" s="2" t="s">
        <v>394</v>
      </c>
      <c r="B44" s="3" t="s">
        <v>478</v>
      </c>
      <c r="C44" s="2" t="s">
        <v>179</v>
      </c>
      <c r="D44" s="2" t="s">
        <v>963</v>
      </c>
      <c r="E44" s="2" t="s">
        <v>438</v>
      </c>
      <c r="F44" s="2" t="str">
        <f>VLOOKUP($B44,'Schema Import'!$A$2:$C$183,3,FALSE)</f>
        <v>1.0.1</v>
      </c>
      <c r="G44" s="2" t="s">
        <v>704</v>
      </c>
      <c r="H44" s="2" t="s">
        <v>951</v>
      </c>
      <c r="I44" s="5">
        <v>1</v>
      </c>
      <c r="J44" s="5">
        <f>COUNTIF(Table1[[#This Row],[Management Zone]:[AWS Credentials]],"*")</f>
        <v>0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3"/>
      <c r="AA44"/>
      <c r="AC44"/>
      <c r="AE44"/>
      <c r="AG44"/>
      <c r="AJ44"/>
      <c r="AK44"/>
    </row>
    <row r="45" spans="1:37" x14ac:dyDescent="0.2">
      <c r="A45" s="2" t="s">
        <v>378</v>
      </c>
      <c r="B45" s="3" t="s">
        <v>476</v>
      </c>
      <c r="C45" s="2" t="s">
        <v>163</v>
      </c>
      <c r="D45" s="2" t="s">
        <v>963</v>
      </c>
      <c r="E45" s="2" t="s">
        <v>477</v>
      </c>
      <c r="F45" s="2" t="str">
        <f>VLOOKUP($B45,'Schema Import'!$A$2:$C$183,3,FALSE)</f>
        <v>1.0.16</v>
      </c>
      <c r="G45" s="2" t="s">
        <v>704</v>
      </c>
      <c r="H45" s="2" t="s">
        <v>951</v>
      </c>
      <c r="I45" s="5">
        <v>1</v>
      </c>
      <c r="J45" s="5">
        <f>COUNTIF(Table1[[#This Row],[Management Zone]:[AWS Credentials]],"*")</f>
        <v>0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3"/>
      <c r="AA45"/>
      <c r="AC45"/>
      <c r="AE45"/>
      <c r="AG45"/>
      <c r="AJ45"/>
      <c r="AK45"/>
    </row>
    <row r="46" spans="1:37" x14ac:dyDescent="0.2">
      <c r="A46" s="2" t="s">
        <v>379</v>
      </c>
      <c r="B46" s="3" t="s">
        <v>479</v>
      </c>
      <c r="C46" s="2" t="s">
        <v>164</v>
      </c>
      <c r="D46" s="2" t="s">
        <v>963</v>
      </c>
      <c r="E46" s="2" t="s">
        <v>480</v>
      </c>
      <c r="F46" s="2" t="str">
        <f>VLOOKUP($B46,'Schema Import'!$A$2:$C$183,3,FALSE)</f>
        <v>0.9.13</v>
      </c>
      <c r="G46" s="2" t="s">
        <v>704</v>
      </c>
      <c r="H46" s="2" t="s">
        <v>951</v>
      </c>
      <c r="I46" s="5">
        <v>1</v>
      </c>
      <c r="J46" s="5">
        <f>COUNTIF(Table1[[#This Row],[Management Zone]:[AWS Credentials]],"*")</f>
        <v>0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3"/>
      <c r="AA46"/>
      <c r="AC46"/>
      <c r="AE46"/>
      <c r="AG46"/>
      <c r="AJ46"/>
      <c r="AK46"/>
    </row>
    <row r="47" spans="1:37" x14ac:dyDescent="0.2">
      <c r="A47" s="2" t="s">
        <v>355</v>
      </c>
      <c r="B47" s="3" t="s">
        <v>558</v>
      </c>
      <c r="C47" s="2" t="s">
        <v>140</v>
      </c>
      <c r="D47" s="2" t="s">
        <v>963</v>
      </c>
      <c r="E47" s="2" t="s">
        <v>559</v>
      </c>
      <c r="F47" s="2" t="str">
        <f>VLOOKUP($B47,'Schema Import'!$A$2:$C$183,3,FALSE)</f>
        <v>3.0.4</v>
      </c>
      <c r="G47" s="2" t="s">
        <v>704</v>
      </c>
      <c r="H47" s="2" t="s">
        <v>951</v>
      </c>
      <c r="I47" s="5">
        <v>3</v>
      </c>
      <c r="J47" s="5">
        <f>COUNTIF(Table1[[#This Row],[Management Zone]:[AWS Credentials]],"*")</f>
        <v>1</v>
      </c>
      <c r="K47" s="5"/>
      <c r="L47" s="5"/>
      <c r="M47" s="5"/>
      <c r="N47" s="5"/>
      <c r="O47" s="5"/>
      <c r="P47" s="5" t="s">
        <v>709</v>
      </c>
      <c r="Q47" s="5"/>
      <c r="R47" s="5"/>
      <c r="S47" s="5"/>
      <c r="T47" s="5"/>
      <c r="U47" s="5"/>
      <c r="V47" s="5"/>
      <c r="W47" s="5"/>
      <c r="X47" s="5"/>
      <c r="Y47" s="5"/>
      <c r="Z47" s="3" t="s">
        <v>974</v>
      </c>
      <c r="AA47"/>
      <c r="AC47"/>
      <c r="AE47"/>
      <c r="AG47"/>
      <c r="AJ47"/>
      <c r="AK47"/>
    </row>
    <row r="48" spans="1:37" x14ac:dyDescent="0.2">
      <c r="A48" s="2" t="s">
        <v>219</v>
      </c>
      <c r="B48" s="3" t="s">
        <v>630</v>
      </c>
      <c r="C48" s="2" t="s">
        <v>5</v>
      </c>
      <c r="D48" s="2" t="s">
        <v>972</v>
      </c>
      <c r="E48" s="2" t="s">
        <v>708</v>
      </c>
      <c r="F48" s="2" t="e">
        <f>VLOOKUP($B48,'Schema Import'!$A$2:$C$183,3,FALSE)</f>
        <v>#N/A</v>
      </c>
      <c r="G48" s="3" t="s">
        <v>705</v>
      </c>
      <c r="H48" s="2" t="s">
        <v>956</v>
      </c>
      <c r="I48" s="5">
        <v>1</v>
      </c>
      <c r="J48" s="6">
        <f>COUNTIF(Table1[[#This Row],[Management Zone]:[AWS Credentials]],"*")</f>
        <v>0</v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3" t="s">
        <v>985</v>
      </c>
      <c r="AA48"/>
      <c r="AC48"/>
      <c r="AE48"/>
      <c r="AG48"/>
      <c r="AJ48"/>
      <c r="AK48"/>
    </row>
    <row r="49" spans="1:37" x14ac:dyDescent="0.2">
      <c r="A49" s="2" t="s">
        <v>289</v>
      </c>
      <c r="B49" s="3" t="s">
        <v>433</v>
      </c>
      <c r="C49" s="2" t="s">
        <v>75</v>
      </c>
      <c r="D49" s="2" t="s">
        <v>963</v>
      </c>
      <c r="E49" s="3" t="s">
        <v>434</v>
      </c>
      <c r="F49" s="2" t="str">
        <f>VLOOKUP($B49,'Schema Import'!$A$2:$C$183,3,FALSE)</f>
        <v>0.0.16</v>
      </c>
      <c r="G49" s="2" t="s">
        <v>704</v>
      </c>
      <c r="H49" s="2" t="s">
        <v>951</v>
      </c>
      <c r="I49" s="5">
        <v>1</v>
      </c>
      <c r="J49" s="5">
        <f>COUNTIF(Table1[[#This Row],[Management Zone]:[AWS Credentials]],"*")</f>
        <v>0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3" t="s">
        <v>986</v>
      </c>
      <c r="AA49"/>
      <c r="AC49"/>
      <c r="AE49"/>
      <c r="AG49"/>
      <c r="AJ49"/>
      <c r="AK49"/>
    </row>
    <row r="50" spans="1:37" x14ac:dyDescent="0.2">
      <c r="A50" s="2" t="s">
        <v>286</v>
      </c>
      <c r="B50" s="3" t="s">
        <v>671</v>
      </c>
      <c r="C50" s="2" t="s">
        <v>72</v>
      </c>
      <c r="D50" s="2" t="s">
        <v>963</v>
      </c>
      <c r="E50" s="2" t="s">
        <v>672</v>
      </c>
      <c r="F50" s="2" t="str">
        <f>VLOOKUP($B50,'Schema Import'!$A$2:$C$183,3,FALSE)</f>
        <v>3.4.1</v>
      </c>
      <c r="G50" s="2" t="s">
        <v>704</v>
      </c>
      <c r="H50" s="2" t="s">
        <v>951</v>
      </c>
      <c r="I50" s="5">
        <v>1</v>
      </c>
      <c r="J50" s="5">
        <f>COUNTIF(Table1[[#This Row],[Management Zone]:[AWS Credentials]],"*")</f>
        <v>0</v>
      </c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3" t="s">
        <v>674</v>
      </c>
      <c r="AA50"/>
      <c r="AC50"/>
      <c r="AE50"/>
      <c r="AG50"/>
      <c r="AJ50"/>
      <c r="AK50"/>
    </row>
    <row r="51" spans="1:37" x14ac:dyDescent="0.2">
      <c r="A51" s="2" t="s">
        <v>304</v>
      </c>
      <c r="B51" s="3" t="s">
        <v>481</v>
      </c>
      <c r="C51" s="2" t="s">
        <v>90</v>
      </c>
      <c r="D51" s="2" t="s">
        <v>963</v>
      </c>
      <c r="E51" s="2" t="s">
        <v>482</v>
      </c>
      <c r="F51" s="2" t="str">
        <f>VLOOKUP($B51,'Schema Import'!$A$2:$C$183,3,FALSE)</f>
        <v>1.0.20</v>
      </c>
      <c r="G51" s="2" t="s">
        <v>704</v>
      </c>
      <c r="H51" s="2" t="s">
        <v>951</v>
      </c>
      <c r="I51" s="5">
        <v>1</v>
      </c>
      <c r="J51" s="5">
        <f>COUNTIF(Table1[[#This Row],[Management Zone]:[AWS Credentials]],"*")</f>
        <v>0</v>
      </c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3"/>
      <c r="AA51"/>
      <c r="AC51"/>
      <c r="AE51"/>
      <c r="AG51"/>
      <c r="AJ51"/>
      <c r="AK51"/>
    </row>
    <row r="52" spans="1:37" x14ac:dyDescent="0.2">
      <c r="A52" s="2" t="s">
        <v>402</v>
      </c>
      <c r="B52" s="3" t="s">
        <v>488</v>
      </c>
      <c r="C52" s="2" t="s">
        <v>187</v>
      </c>
      <c r="D52" s="2" t="s">
        <v>963</v>
      </c>
      <c r="E52" s="2" t="s">
        <v>489</v>
      </c>
      <c r="F52" s="2" t="str">
        <f>VLOOKUP($B52,'Schema Import'!$A$2:$C$183,3,FALSE)</f>
        <v>0.0.8</v>
      </c>
      <c r="G52" s="2" t="s">
        <v>704</v>
      </c>
      <c r="H52" s="2" t="s">
        <v>951</v>
      </c>
      <c r="I52" s="5">
        <v>1</v>
      </c>
      <c r="J52" s="5">
        <f>COUNTIF(Table1[[#This Row],[Management Zone]:[AWS Credentials]],"*")</f>
        <v>0</v>
      </c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3"/>
      <c r="AA52"/>
      <c r="AC52"/>
      <c r="AE52"/>
      <c r="AG52"/>
      <c r="AJ52"/>
      <c r="AK52"/>
    </row>
    <row r="53" spans="1:37" x14ac:dyDescent="0.2">
      <c r="A53" s="2" t="s">
        <v>220</v>
      </c>
      <c r="B53" s="3" t="s">
        <v>631</v>
      </c>
      <c r="C53" s="2" t="s">
        <v>6</v>
      </c>
      <c r="D53" s="2" t="s">
        <v>972</v>
      </c>
      <c r="E53" s="2" t="s">
        <v>708</v>
      </c>
      <c r="F53" s="2" t="e">
        <f>VLOOKUP($B53,'Schema Import'!$A$2:$C$183,3,FALSE)</f>
        <v>#N/A</v>
      </c>
      <c r="G53" s="3" t="s">
        <v>705</v>
      </c>
      <c r="H53" s="2" t="s">
        <v>956</v>
      </c>
      <c r="I53" s="5">
        <v>1</v>
      </c>
      <c r="J53" s="6">
        <f>COUNTIF(Table1[[#This Row],[Management Zone]:[AWS Credentials]],"*")</f>
        <v>0</v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3" t="s">
        <v>987</v>
      </c>
      <c r="AA53"/>
      <c r="AC53"/>
      <c r="AE53"/>
      <c r="AG53"/>
      <c r="AJ53"/>
      <c r="AK53"/>
    </row>
    <row r="54" spans="1:37" x14ac:dyDescent="0.2">
      <c r="A54" s="2" t="s">
        <v>291</v>
      </c>
      <c r="B54" s="3" t="s">
        <v>439</v>
      </c>
      <c r="C54" s="2" t="s">
        <v>77</v>
      </c>
      <c r="D54" s="2" t="s">
        <v>963</v>
      </c>
      <c r="E54" s="3">
        <v>3</v>
      </c>
      <c r="F54" s="2" t="str">
        <f>VLOOKUP($B54,'Schema Import'!$A$2:$C$183,3,FALSE)</f>
        <v>3</v>
      </c>
      <c r="G54" s="2" t="s">
        <v>704</v>
      </c>
      <c r="H54" s="2" t="s">
        <v>951</v>
      </c>
      <c r="I54" s="5">
        <v>1</v>
      </c>
      <c r="J54" s="5">
        <f>COUNTIF(Table1[[#This Row],[Management Zone]:[AWS Credentials]],"*")</f>
        <v>0</v>
      </c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3"/>
      <c r="AA54"/>
      <c r="AC54"/>
      <c r="AE54"/>
      <c r="AG54"/>
      <c r="AJ54"/>
      <c r="AK54"/>
    </row>
    <row r="55" spans="1:37" x14ac:dyDescent="0.2">
      <c r="A55" s="2" t="s">
        <v>420</v>
      </c>
      <c r="B55" s="3" t="s">
        <v>435</v>
      </c>
      <c r="C55" s="2" t="s">
        <v>205</v>
      </c>
      <c r="D55" s="2" t="s">
        <v>963</v>
      </c>
      <c r="E55" s="3" t="s">
        <v>436</v>
      </c>
      <c r="F55" s="2" t="str">
        <f>VLOOKUP($B55,'Schema Import'!$A$2:$C$183,3,FALSE)</f>
        <v>1.0.2</v>
      </c>
      <c r="G55" s="2" t="s">
        <v>704</v>
      </c>
      <c r="H55" s="2" t="s">
        <v>951</v>
      </c>
      <c r="I55" s="5">
        <v>1</v>
      </c>
      <c r="J55" s="5">
        <f>COUNTIF(Table1[[#This Row],[Management Zone]:[AWS Credentials]],"*")</f>
        <v>0</v>
      </c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3" t="s">
        <v>988</v>
      </c>
      <c r="AA55"/>
      <c r="AC55"/>
      <c r="AE55"/>
      <c r="AG55"/>
      <c r="AJ55"/>
      <c r="AK55"/>
    </row>
    <row r="56" spans="1:37" x14ac:dyDescent="0.2">
      <c r="A56" s="2" t="s">
        <v>358</v>
      </c>
      <c r="B56" s="3" t="s">
        <v>490</v>
      </c>
      <c r="C56" s="2" t="s">
        <v>143</v>
      </c>
      <c r="D56" s="2" t="s">
        <v>963</v>
      </c>
      <c r="E56" s="2" t="s">
        <v>491</v>
      </c>
      <c r="F56" s="2" t="str">
        <f>VLOOKUP($B56,'Schema Import'!$A$2:$C$183,3,FALSE)</f>
        <v>1.2.6</v>
      </c>
      <c r="G56" s="2" t="s">
        <v>704</v>
      </c>
      <c r="H56" s="2" t="s">
        <v>951</v>
      </c>
      <c r="I56" s="5">
        <v>1</v>
      </c>
      <c r="J56" s="5">
        <f>COUNTIF(Table1[[#This Row],[Management Zone]:[AWS Credentials]],"*")</f>
        <v>0</v>
      </c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3"/>
      <c r="AA56"/>
      <c r="AC56"/>
      <c r="AE56"/>
      <c r="AG56"/>
      <c r="AJ56"/>
      <c r="AK56"/>
    </row>
    <row r="57" spans="1:37" x14ac:dyDescent="0.2">
      <c r="A57" s="2" t="s">
        <v>292</v>
      </c>
      <c r="B57" s="3" t="s">
        <v>440</v>
      </c>
      <c r="C57" s="2" t="s">
        <v>78</v>
      </c>
      <c r="D57" s="2" t="s">
        <v>963</v>
      </c>
      <c r="E57" s="2">
        <v>1</v>
      </c>
      <c r="F57" s="2" t="str">
        <f>VLOOKUP($B57,'Schema Import'!$A$2:$C$183,3,FALSE)</f>
        <v>1</v>
      </c>
      <c r="G57" s="2" t="s">
        <v>704</v>
      </c>
      <c r="H57" s="2" t="s">
        <v>951</v>
      </c>
      <c r="I57" s="5">
        <v>1</v>
      </c>
      <c r="J57" s="5">
        <f>COUNTIF(Table1[[#This Row],[Management Zone]:[AWS Credentials]],"*")</f>
        <v>0</v>
      </c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3"/>
      <c r="AA57"/>
      <c r="AC57"/>
      <c r="AE57"/>
      <c r="AG57"/>
      <c r="AJ57"/>
      <c r="AK57"/>
    </row>
    <row r="58" spans="1:37" x14ac:dyDescent="0.2">
      <c r="A58" s="2" t="s">
        <v>238</v>
      </c>
      <c r="B58" s="3" t="s">
        <v>685</v>
      </c>
      <c r="C58" s="2" t="s">
        <v>24</v>
      </c>
      <c r="D58" s="2" t="s">
        <v>963</v>
      </c>
      <c r="E58" s="2" t="s">
        <v>686</v>
      </c>
      <c r="F58" s="2" t="str">
        <f>VLOOKUP($B58,'Schema Import'!$A$2:$C$183,3,FALSE)</f>
        <v>1.4.8</v>
      </c>
      <c r="G58" s="2" t="s">
        <v>704</v>
      </c>
      <c r="H58" s="2" t="s">
        <v>951</v>
      </c>
      <c r="I58" s="5">
        <v>3</v>
      </c>
      <c r="J58" s="5">
        <f>COUNTIF(Table1[[#This Row],[Management Zone]:[AWS Credentials]],"*")</f>
        <v>1</v>
      </c>
      <c r="K58" s="5"/>
      <c r="L58" s="5" t="s">
        <v>709</v>
      </c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2" t="s">
        <v>1001</v>
      </c>
      <c r="AA58"/>
      <c r="AC58"/>
      <c r="AE58"/>
      <c r="AG58"/>
      <c r="AJ58"/>
      <c r="AK58"/>
    </row>
    <row r="59" spans="1:37" x14ac:dyDescent="0.2">
      <c r="A59" s="2" t="s">
        <v>388</v>
      </c>
      <c r="B59" s="3" t="s">
        <v>496</v>
      </c>
      <c r="C59" s="2" t="s">
        <v>173</v>
      </c>
      <c r="D59" s="2" t="s">
        <v>963</v>
      </c>
      <c r="E59" s="2" t="s">
        <v>438</v>
      </c>
      <c r="F59" s="2" t="str">
        <f>VLOOKUP($B59,'Schema Import'!$A$2:$C$183,3,FALSE)</f>
        <v>1.0.1</v>
      </c>
      <c r="G59" s="2" t="s">
        <v>704</v>
      </c>
      <c r="H59" s="2" t="s">
        <v>951</v>
      </c>
      <c r="I59" s="5">
        <v>1</v>
      </c>
      <c r="J59" s="5">
        <f>COUNTIF(Table1[[#This Row],[Management Zone]:[AWS Credentials]],"*")</f>
        <v>0</v>
      </c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3"/>
      <c r="AA59"/>
      <c r="AC59"/>
      <c r="AE59"/>
      <c r="AG59"/>
      <c r="AJ59"/>
      <c r="AK59"/>
    </row>
    <row r="60" spans="1:37" x14ac:dyDescent="0.2">
      <c r="A60" s="2" t="s">
        <v>360</v>
      </c>
      <c r="B60" s="3" t="s">
        <v>492</v>
      </c>
      <c r="C60" s="2" t="s">
        <v>145</v>
      </c>
      <c r="D60" s="2" t="s">
        <v>963</v>
      </c>
      <c r="E60" s="3" t="s">
        <v>493</v>
      </c>
      <c r="F60" s="2" t="str">
        <f>VLOOKUP($B60,'Schema Import'!$A$2:$C$183,3,FALSE)</f>
        <v>0.0.3</v>
      </c>
      <c r="G60" s="2" t="s">
        <v>704</v>
      </c>
      <c r="H60" s="2" t="s">
        <v>951</v>
      </c>
      <c r="I60" s="5">
        <v>1</v>
      </c>
      <c r="J60" s="5">
        <f>COUNTIF(Table1[[#This Row],[Management Zone]:[AWS Credentials]],"*")</f>
        <v>0</v>
      </c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3"/>
      <c r="AA60"/>
      <c r="AC60"/>
      <c r="AE60"/>
      <c r="AG60"/>
      <c r="AJ60"/>
      <c r="AK60"/>
    </row>
    <row r="61" spans="1:37" x14ac:dyDescent="0.2">
      <c r="A61" s="2" t="s">
        <v>405</v>
      </c>
      <c r="B61" s="3" t="s">
        <v>494</v>
      </c>
      <c r="C61" s="2" t="s">
        <v>190</v>
      </c>
      <c r="D61" s="2" t="s">
        <v>963</v>
      </c>
      <c r="E61" s="2" t="s">
        <v>495</v>
      </c>
      <c r="F61" s="2" t="str">
        <f>VLOOKUP($B61,'Schema Import'!$A$2:$C$183,3,FALSE)</f>
        <v>0.1.1</v>
      </c>
      <c r="G61" s="2" t="s">
        <v>704</v>
      </c>
      <c r="H61" s="2" t="s">
        <v>951</v>
      </c>
      <c r="I61" s="5">
        <v>1</v>
      </c>
      <c r="J61" s="5">
        <f>COUNTIF(Table1[[#This Row],[Management Zone]:[AWS Credentials]],"*")</f>
        <v>0</v>
      </c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3"/>
      <c r="AA61"/>
      <c r="AC61"/>
      <c r="AE61"/>
      <c r="AG61"/>
      <c r="AJ61"/>
      <c r="AK61"/>
    </row>
    <row r="62" spans="1:37" x14ac:dyDescent="0.2">
      <c r="A62" s="2" t="s">
        <v>395</v>
      </c>
      <c r="B62" s="3" t="s">
        <v>498</v>
      </c>
      <c r="C62" s="2" t="s">
        <v>180</v>
      </c>
      <c r="D62" s="2" t="s">
        <v>963</v>
      </c>
      <c r="E62" s="2" t="s">
        <v>460</v>
      </c>
      <c r="F62" s="2" t="str">
        <f>VLOOKUP($B62,'Schema Import'!$A$2:$C$183,3,FALSE)</f>
        <v>1.0.3</v>
      </c>
      <c r="G62" s="2" t="s">
        <v>704</v>
      </c>
      <c r="H62" s="2" t="s">
        <v>951</v>
      </c>
      <c r="I62" s="5">
        <v>1</v>
      </c>
      <c r="J62" s="5">
        <f>COUNTIF(Table1[[#This Row],[Management Zone]:[AWS Credentials]],"*")</f>
        <v>0</v>
      </c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3"/>
      <c r="AA62"/>
      <c r="AC62"/>
      <c r="AE62"/>
      <c r="AG62"/>
      <c r="AJ62"/>
      <c r="AK62"/>
    </row>
    <row r="63" spans="1:37" x14ac:dyDescent="0.2">
      <c r="A63" s="2" t="s">
        <v>396</v>
      </c>
      <c r="B63" s="3" t="s">
        <v>499</v>
      </c>
      <c r="C63" s="2" t="s">
        <v>181</v>
      </c>
      <c r="D63" s="2" t="s">
        <v>963</v>
      </c>
      <c r="E63" s="2" t="s">
        <v>472</v>
      </c>
      <c r="F63" s="2" t="str">
        <f>VLOOKUP($B63,'Schema Import'!$A$2:$C$183,3,FALSE)</f>
        <v>1.0.5</v>
      </c>
      <c r="G63" s="2" t="s">
        <v>704</v>
      </c>
      <c r="H63" s="2" t="s">
        <v>951</v>
      </c>
      <c r="I63" s="5">
        <v>2</v>
      </c>
      <c r="J63" s="5">
        <f>COUNTIF(Table1[[#This Row],[Management Zone]:[AWS Credentials]],"*")</f>
        <v>1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 t="s">
        <v>709</v>
      </c>
      <c r="V63" s="5"/>
      <c r="W63" s="5"/>
      <c r="X63" s="5"/>
      <c r="Y63" s="5"/>
      <c r="Z63" s="3"/>
      <c r="AA63"/>
      <c r="AC63"/>
      <c r="AE63"/>
      <c r="AG63"/>
      <c r="AJ63"/>
      <c r="AK63"/>
    </row>
    <row r="64" spans="1:37" x14ac:dyDescent="0.2">
      <c r="A64" s="2" t="s">
        <v>247</v>
      </c>
      <c r="B64" s="3" t="s">
        <v>667</v>
      </c>
      <c r="C64" s="2" t="s">
        <v>33</v>
      </c>
      <c r="D64" s="2" t="s">
        <v>963</v>
      </c>
      <c r="E64" s="2" t="s">
        <v>436</v>
      </c>
      <c r="F64" s="2" t="str">
        <f>VLOOKUP($B64,'Schema Import'!$A$2:$C$183,3,FALSE)</f>
        <v>1.0.2</v>
      </c>
      <c r="G64" s="2" t="s">
        <v>704</v>
      </c>
      <c r="H64" s="2" t="s">
        <v>951</v>
      </c>
      <c r="I64" s="5">
        <v>1</v>
      </c>
      <c r="J64" s="5">
        <f>COUNTIF(Table1[[#This Row],[Management Zone]:[AWS Credentials]],"*")</f>
        <v>0</v>
      </c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3" t="s">
        <v>674</v>
      </c>
      <c r="AA64"/>
      <c r="AC64"/>
      <c r="AE64"/>
      <c r="AG64"/>
      <c r="AJ64"/>
      <c r="AK64"/>
    </row>
    <row r="65" spans="1:37" x14ac:dyDescent="0.2">
      <c r="A65" s="2" t="s">
        <v>353</v>
      </c>
      <c r="B65" s="3" t="s">
        <v>529</v>
      </c>
      <c r="C65" s="2" t="s">
        <v>138</v>
      </c>
      <c r="D65" s="2" t="s">
        <v>963</v>
      </c>
      <c r="E65" s="2" t="s">
        <v>530</v>
      </c>
      <c r="F65" s="2" t="str">
        <f>VLOOKUP($B65,'Schema Import'!$A$2:$C$183,3,FALSE)</f>
        <v>1.0.34</v>
      </c>
      <c r="G65" s="2" t="s">
        <v>704</v>
      </c>
      <c r="H65" s="2" t="s">
        <v>951</v>
      </c>
      <c r="I65" s="5">
        <v>1</v>
      </c>
      <c r="J65" s="5">
        <f>COUNTIF(Table1[[#This Row],[Management Zone]:[AWS Credentials]],"*")</f>
        <v>0</v>
      </c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3"/>
      <c r="AA65"/>
      <c r="AC65"/>
      <c r="AE65"/>
      <c r="AG65"/>
      <c r="AJ65"/>
      <c r="AK65"/>
    </row>
    <row r="66" spans="1:37" x14ac:dyDescent="0.2">
      <c r="A66" s="2" t="s">
        <v>352</v>
      </c>
      <c r="B66" s="3" t="s">
        <v>531</v>
      </c>
      <c r="C66" s="2" t="s">
        <v>137</v>
      </c>
      <c r="D66" s="2" t="s">
        <v>963</v>
      </c>
      <c r="E66" s="2" t="s">
        <v>532</v>
      </c>
      <c r="F66" s="2" t="str">
        <f>VLOOKUP($B66,'Schema Import'!$A$2:$C$183,3,FALSE)</f>
        <v>1.0.76</v>
      </c>
      <c r="G66" s="2" t="s">
        <v>704</v>
      </c>
      <c r="H66" s="2" t="s">
        <v>951</v>
      </c>
      <c r="I66" s="5">
        <v>1</v>
      </c>
      <c r="J66" s="5">
        <f>COUNTIF(Table1[[#This Row],[Management Zone]:[AWS Credentials]],"*")</f>
        <v>0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3"/>
      <c r="AA66"/>
      <c r="AC66"/>
      <c r="AE66"/>
      <c r="AG66"/>
      <c r="AJ66"/>
      <c r="AK66"/>
    </row>
    <row r="67" spans="1:37" x14ac:dyDescent="0.2">
      <c r="A67" s="2" t="s">
        <v>399</v>
      </c>
      <c r="B67" s="3" t="s">
        <v>502</v>
      </c>
      <c r="C67" s="2" t="s">
        <v>184</v>
      </c>
      <c r="D67" s="2" t="s">
        <v>963</v>
      </c>
      <c r="E67" s="2" t="s">
        <v>438</v>
      </c>
      <c r="F67" s="2" t="str">
        <f>VLOOKUP($B67,'Schema Import'!$A$2:$C$183,3,FALSE)</f>
        <v>1.0.1</v>
      </c>
      <c r="G67" s="2" t="s">
        <v>704</v>
      </c>
      <c r="H67" s="2" t="s">
        <v>951</v>
      </c>
      <c r="I67" s="5">
        <v>1</v>
      </c>
      <c r="J67" s="5">
        <f>COUNTIF(Table1[[#This Row],[Management Zone]:[AWS Credentials]],"*")</f>
        <v>0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3"/>
      <c r="AA67"/>
      <c r="AC67"/>
      <c r="AE67"/>
      <c r="AG67"/>
      <c r="AJ67"/>
      <c r="AK67"/>
    </row>
    <row r="68" spans="1:37" x14ac:dyDescent="0.2">
      <c r="A68" s="2" t="s">
        <v>221</v>
      </c>
      <c r="B68" s="3" t="s">
        <v>632</v>
      </c>
      <c r="C68" s="2" t="s">
        <v>7</v>
      </c>
      <c r="D68" s="2" t="s">
        <v>972</v>
      </c>
      <c r="E68" s="2" t="s">
        <v>708</v>
      </c>
      <c r="F68" s="2" t="e">
        <f>VLOOKUP($B68,'Schema Import'!$A$2:$C$183,3,FALSE)</f>
        <v>#N/A</v>
      </c>
      <c r="G68" s="3" t="s">
        <v>705</v>
      </c>
      <c r="H68" s="2" t="s">
        <v>956</v>
      </c>
      <c r="I68" s="5">
        <v>1</v>
      </c>
      <c r="J68" s="6">
        <f>COUNTIF(Table1[[#This Row],[Management Zone]:[AWS Credentials]],"*")</f>
        <v>0</v>
      </c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3" t="s">
        <v>989</v>
      </c>
      <c r="AA68"/>
      <c r="AC68"/>
      <c r="AE68"/>
      <c r="AG68"/>
      <c r="AJ68"/>
      <c r="AK68"/>
    </row>
    <row r="69" spans="1:37" x14ac:dyDescent="0.2">
      <c r="A69" s="2" t="s">
        <v>293</v>
      </c>
      <c r="B69" s="3" t="s">
        <v>441</v>
      </c>
      <c r="C69" s="2" t="s">
        <v>79</v>
      </c>
      <c r="D69" s="2" t="s">
        <v>963</v>
      </c>
      <c r="E69" s="2" t="s">
        <v>442</v>
      </c>
      <c r="F69" s="2" t="str">
        <f>VLOOKUP($B69,'Schema Import'!$A$2:$C$183,3,FALSE)</f>
        <v>1.2.8</v>
      </c>
      <c r="G69" s="2" t="s">
        <v>704</v>
      </c>
      <c r="H69" s="2" t="s">
        <v>951</v>
      </c>
      <c r="I69" s="5">
        <v>1</v>
      </c>
      <c r="J69" s="5">
        <f>COUNTIF(Table1[[#This Row],[Management Zone]:[AWS Credentials]],"*")</f>
        <v>0</v>
      </c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3" t="s">
        <v>990</v>
      </c>
      <c r="AA69"/>
      <c r="AC69"/>
      <c r="AE69"/>
      <c r="AG69"/>
      <c r="AJ69"/>
      <c r="AK69"/>
    </row>
    <row r="70" spans="1:37" x14ac:dyDescent="0.2">
      <c r="A70" s="2" t="s">
        <v>305</v>
      </c>
      <c r="B70" s="3" t="s">
        <v>503</v>
      </c>
      <c r="C70" s="2" t="s">
        <v>91</v>
      </c>
      <c r="D70" s="2" t="s">
        <v>963</v>
      </c>
      <c r="E70" s="2">
        <v>1</v>
      </c>
      <c r="F70" s="2" t="str">
        <f>VLOOKUP($B70,'Schema Import'!$A$2:$C$183,3,FALSE)</f>
        <v>1.2</v>
      </c>
      <c r="G70" s="2" t="s">
        <v>704</v>
      </c>
      <c r="H70" s="2" t="s">
        <v>951</v>
      </c>
      <c r="I70" s="5">
        <v>1</v>
      </c>
      <c r="J70" s="5">
        <f>COUNTIF(Table1[[#This Row],[Management Zone]:[AWS Credentials]],"*")</f>
        <v>0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3"/>
      <c r="AA70"/>
      <c r="AC70"/>
      <c r="AE70"/>
      <c r="AG70"/>
      <c r="AJ70"/>
      <c r="AK70"/>
    </row>
    <row r="71" spans="1:37" x14ac:dyDescent="0.2">
      <c r="A71" s="2" t="s">
        <v>264</v>
      </c>
      <c r="B71" s="3" t="s">
        <v>654</v>
      </c>
      <c r="C71" s="2" t="s">
        <v>50</v>
      </c>
      <c r="D71" s="2" t="s">
        <v>963</v>
      </c>
      <c r="E71" s="2" t="s">
        <v>708</v>
      </c>
      <c r="F71" s="2" t="e">
        <f>VLOOKUP($B71,'Schema Import'!$A$2:$C$183,3,FALSE)</f>
        <v>#N/A</v>
      </c>
      <c r="G71" s="3" t="s">
        <v>705</v>
      </c>
      <c r="H71" s="2" t="s">
        <v>956</v>
      </c>
      <c r="I71" s="5">
        <v>1</v>
      </c>
      <c r="J71" s="6">
        <f>COUNTIF(Table1[[#This Row],[Management Zone]:[AWS Credentials]],"*")</f>
        <v>0</v>
      </c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3"/>
      <c r="AA71"/>
      <c r="AC71"/>
      <c r="AE71"/>
      <c r="AG71"/>
      <c r="AJ71"/>
      <c r="AK71"/>
    </row>
    <row r="72" spans="1:37" x14ac:dyDescent="0.2">
      <c r="A72" s="2" t="s">
        <v>306</v>
      </c>
      <c r="B72" s="3" t="s">
        <v>505</v>
      </c>
      <c r="C72" s="2" t="s">
        <v>92</v>
      </c>
      <c r="D72" s="2" t="s">
        <v>963</v>
      </c>
      <c r="E72" s="2" t="s">
        <v>438</v>
      </c>
      <c r="F72" s="2" t="str">
        <f>VLOOKUP($B72,'Schema Import'!$A$2:$C$183,3,FALSE)</f>
        <v>1.0.1</v>
      </c>
      <c r="G72" s="2" t="s">
        <v>704</v>
      </c>
      <c r="H72" s="2" t="s">
        <v>951</v>
      </c>
      <c r="I72" s="5">
        <v>1</v>
      </c>
      <c r="J72" s="5">
        <f>COUNTIF(Table1[[#This Row],[Management Zone]:[AWS Credentials]],"*")</f>
        <v>0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3"/>
      <c r="AA72"/>
      <c r="AC72"/>
      <c r="AE72"/>
      <c r="AG72"/>
      <c r="AJ72"/>
      <c r="AK72"/>
    </row>
    <row r="73" spans="1:37" x14ac:dyDescent="0.2">
      <c r="A73" s="2" t="s">
        <v>270</v>
      </c>
      <c r="B73" s="3" t="s">
        <v>664</v>
      </c>
      <c r="C73" s="2" t="s">
        <v>56</v>
      </c>
      <c r="D73" s="2" t="s">
        <v>963</v>
      </c>
      <c r="E73" s="2" t="s">
        <v>708</v>
      </c>
      <c r="F73" s="2" t="e">
        <f>VLOOKUP($B73,'Schema Import'!$A$2:$C$183,3,FALSE)</f>
        <v>#N/A</v>
      </c>
      <c r="G73" s="3" t="s">
        <v>958</v>
      </c>
      <c r="H73" s="2" t="s">
        <v>959</v>
      </c>
      <c r="I73" s="5">
        <v>3</v>
      </c>
      <c r="J73" s="6">
        <f>COUNTIF(Table1[[#This Row],[Management Zone]:[AWS Credentials]],"*")</f>
        <v>3</v>
      </c>
      <c r="K73" s="6"/>
      <c r="L73" s="6"/>
      <c r="M73" s="6"/>
      <c r="N73" s="6"/>
      <c r="O73" s="6"/>
      <c r="P73" s="6" t="s">
        <v>709</v>
      </c>
      <c r="Q73" s="6"/>
      <c r="R73" s="6"/>
      <c r="S73" s="6"/>
      <c r="T73" s="6" t="s">
        <v>709</v>
      </c>
      <c r="U73" s="6"/>
      <c r="V73" s="6"/>
      <c r="W73" s="6"/>
      <c r="X73" s="6" t="s">
        <v>709</v>
      </c>
      <c r="Y73" s="6"/>
      <c r="Z73" s="3"/>
      <c r="AA73"/>
      <c r="AC73"/>
      <c r="AE73"/>
      <c r="AG73"/>
      <c r="AJ73"/>
      <c r="AK73"/>
    </row>
    <row r="74" spans="1:37" x14ac:dyDescent="0.2">
      <c r="A74" s="2" t="s">
        <v>322</v>
      </c>
      <c r="B74" s="3" t="s">
        <v>615</v>
      </c>
      <c r="C74" s="2" t="s">
        <v>108</v>
      </c>
      <c r="D74" s="2" t="s">
        <v>963</v>
      </c>
      <c r="E74" s="2" t="s">
        <v>438</v>
      </c>
      <c r="F74" s="2" t="str">
        <f>VLOOKUP($B74,'Schema Import'!$A$2:$C$183,3,FALSE)</f>
        <v>1.0.1</v>
      </c>
      <c r="G74" s="2" t="s">
        <v>704</v>
      </c>
      <c r="H74" s="2" t="s">
        <v>951</v>
      </c>
      <c r="I74" s="5">
        <v>4</v>
      </c>
      <c r="J74" s="5">
        <f>COUNTIF(Table1[[#This Row],[Management Zone]:[AWS Credentials]],"*")</f>
        <v>1</v>
      </c>
      <c r="K74" s="5"/>
      <c r="L74" s="5"/>
      <c r="M74" s="5"/>
      <c r="N74" s="5"/>
      <c r="O74" s="5"/>
      <c r="P74" s="5"/>
      <c r="Q74" s="5"/>
      <c r="R74" s="5"/>
      <c r="S74" s="5" t="s">
        <v>709</v>
      </c>
      <c r="T74" s="5"/>
      <c r="U74" s="5"/>
      <c r="V74" s="5"/>
      <c r="W74" s="5"/>
      <c r="X74" s="5"/>
      <c r="Y74" s="5"/>
      <c r="Z74" s="3" t="s">
        <v>1014</v>
      </c>
      <c r="AA74"/>
      <c r="AC74"/>
      <c r="AE74"/>
      <c r="AG74"/>
      <c r="AJ74"/>
      <c r="AK74"/>
    </row>
    <row r="75" spans="1:37" x14ac:dyDescent="0.2">
      <c r="A75" s="2" t="s">
        <v>328</v>
      </c>
      <c r="B75" s="3" t="s">
        <v>616</v>
      </c>
      <c r="C75" s="2" t="s">
        <v>114</v>
      </c>
      <c r="D75" s="2" t="s">
        <v>963</v>
      </c>
      <c r="E75" s="2" t="s">
        <v>613</v>
      </c>
      <c r="F75" s="2" t="str">
        <f>VLOOKUP($B75,'Schema Import'!$A$2:$C$183,3,FALSE)</f>
        <v>1.3.2</v>
      </c>
      <c r="G75" s="2" t="s">
        <v>704</v>
      </c>
      <c r="H75" s="2" t="s">
        <v>951</v>
      </c>
      <c r="I75" s="5">
        <v>4</v>
      </c>
      <c r="J75" s="5">
        <f>COUNTIF(Table1[[#This Row],[Management Zone]:[AWS Credentials]],"*")</f>
        <v>1</v>
      </c>
      <c r="K75" s="5"/>
      <c r="L75" s="5"/>
      <c r="M75" s="5"/>
      <c r="N75" s="5"/>
      <c r="O75" s="5"/>
      <c r="P75" s="5"/>
      <c r="Q75" s="5"/>
      <c r="R75" s="5"/>
      <c r="S75" s="5" t="s">
        <v>709</v>
      </c>
      <c r="T75" s="5"/>
      <c r="U75" s="5"/>
      <c r="V75" s="5"/>
      <c r="W75" s="5"/>
      <c r="X75" s="5"/>
      <c r="Y75" s="5"/>
      <c r="Z75" s="3" t="s">
        <v>1016</v>
      </c>
      <c r="AA75"/>
      <c r="AC75"/>
      <c r="AE75"/>
      <c r="AG75"/>
      <c r="AJ75"/>
      <c r="AK75"/>
    </row>
    <row r="76" spans="1:37" x14ac:dyDescent="0.2">
      <c r="A76" s="2" t="s">
        <v>321</v>
      </c>
      <c r="B76" s="3" t="s">
        <v>617</v>
      </c>
      <c r="C76" s="2" t="s">
        <v>107</v>
      </c>
      <c r="D76" s="2" t="s">
        <v>963</v>
      </c>
      <c r="E76" s="2">
        <v>1.6</v>
      </c>
      <c r="F76" s="2" t="str">
        <f>VLOOKUP($B76,'Schema Import'!$A$2:$C$183,3,FALSE)</f>
        <v>1.6</v>
      </c>
      <c r="G76" s="2" t="s">
        <v>704</v>
      </c>
      <c r="H76" s="2" t="s">
        <v>951</v>
      </c>
      <c r="I76" s="5">
        <v>4</v>
      </c>
      <c r="J76" s="5">
        <f>COUNTIF(Table1[[#This Row],[Management Zone]:[AWS Credentials]],"*")</f>
        <v>1</v>
      </c>
      <c r="K76" s="5"/>
      <c r="L76" s="5"/>
      <c r="M76" s="5"/>
      <c r="N76" s="5"/>
      <c r="O76" s="5"/>
      <c r="P76" s="5"/>
      <c r="Q76" s="5"/>
      <c r="R76" s="5"/>
      <c r="S76" s="5" t="s">
        <v>709</v>
      </c>
      <c r="T76" s="5"/>
      <c r="U76" s="5"/>
      <c r="V76" s="5"/>
      <c r="W76" s="5"/>
      <c r="X76" s="5"/>
      <c r="Y76" s="5"/>
      <c r="Z76" s="3" t="s">
        <v>1016</v>
      </c>
      <c r="AA76"/>
      <c r="AC76"/>
      <c r="AE76"/>
      <c r="AG76"/>
      <c r="AJ76"/>
      <c r="AK76"/>
    </row>
    <row r="77" spans="1:37" x14ac:dyDescent="0.2">
      <c r="A77" s="2" t="s">
        <v>281</v>
      </c>
      <c r="B77" s="3" t="s">
        <v>701</v>
      </c>
      <c r="C77" s="2" t="s">
        <v>67</v>
      </c>
      <c r="D77" s="2" t="s">
        <v>1017</v>
      </c>
      <c r="E77" s="2" t="s">
        <v>708</v>
      </c>
      <c r="F77" s="2" t="e">
        <f>VLOOKUP($B77,'Schema Import'!$A$2:$C$183,3,FALSE)</f>
        <v>#N/A</v>
      </c>
      <c r="G77" s="3" t="s">
        <v>706</v>
      </c>
      <c r="H77" s="2" t="s">
        <v>954</v>
      </c>
      <c r="I77" s="5">
        <v>1</v>
      </c>
      <c r="J77" s="6">
        <f>COUNTIF(Table1[[#This Row],[Management Zone]:[AWS Credentials]],"*")</f>
        <v>0</v>
      </c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2" t="s">
        <v>1018</v>
      </c>
      <c r="AA77"/>
      <c r="AC77"/>
      <c r="AE77"/>
      <c r="AG77"/>
      <c r="AJ77"/>
      <c r="AK77"/>
    </row>
    <row r="78" spans="1:37" x14ac:dyDescent="0.2">
      <c r="A78" s="2" t="s">
        <v>282</v>
      </c>
      <c r="B78" s="3" t="s">
        <v>702</v>
      </c>
      <c r="C78" s="2" t="s">
        <v>68</v>
      </c>
      <c r="D78" s="2" t="s">
        <v>1017</v>
      </c>
      <c r="E78" s="2" t="s">
        <v>708</v>
      </c>
      <c r="F78" s="2" t="e">
        <f>VLOOKUP($B78,'Schema Import'!$A$2:$C$183,3,FALSE)</f>
        <v>#N/A</v>
      </c>
      <c r="G78" s="3" t="s">
        <v>706</v>
      </c>
      <c r="H78" s="2" t="s">
        <v>954</v>
      </c>
      <c r="I78" s="5">
        <v>1</v>
      </c>
      <c r="J78" s="6">
        <f>COUNTIF(Table1[[#This Row],[Management Zone]:[AWS Credentials]],"*")</f>
        <v>0</v>
      </c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2" t="s">
        <v>1018</v>
      </c>
      <c r="AA78"/>
      <c r="AC78"/>
      <c r="AE78"/>
      <c r="AG78"/>
      <c r="AJ78"/>
      <c r="AK78"/>
    </row>
    <row r="79" spans="1:37" x14ac:dyDescent="0.2">
      <c r="A79" s="2" t="s">
        <v>283</v>
      </c>
      <c r="B79" s="3" t="s">
        <v>699</v>
      </c>
      <c r="C79" s="2" t="s">
        <v>69</v>
      </c>
      <c r="D79" s="2" t="s">
        <v>1017</v>
      </c>
      <c r="E79" s="2" t="s">
        <v>708</v>
      </c>
      <c r="F79" s="2" t="e">
        <f>VLOOKUP($B79,'Schema Import'!$A$2:$C$183,3,FALSE)</f>
        <v>#N/A</v>
      </c>
      <c r="G79" s="3" t="s">
        <v>706</v>
      </c>
      <c r="H79" s="2" t="s">
        <v>955</v>
      </c>
      <c r="I79" s="5">
        <v>1</v>
      </c>
      <c r="J79" s="6">
        <f>COUNTIF(Table1[[#This Row],[Management Zone]:[AWS Credentials]],"*")</f>
        <v>0</v>
      </c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2" t="s">
        <v>1018</v>
      </c>
      <c r="AA79"/>
      <c r="AC79"/>
      <c r="AE79"/>
      <c r="AG79"/>
      <c r="AJ79"/>
      <c r="AK79"/>
    </row>
    <row r="80" spans="1:37" x14ac:dyDescent="0.2">
      <c r="A80" s="2" t="s">
        <v>284</v>
      </c>
      <c r="B80" s="3" t="s">
        <v>700</v>
      </c>
      <c r="C80" s="2" t="s">
        <v>70</v>
      </c>
      <c r="D80" s="2" t="s">
        <v>1017</v>
      </c>
      <c r="E80" s="2" t="s">
        <v>708</v>
      </c>
      <c r="F80" s="2" t="e">
        <f>VLOOKUP($B80,'Schema Import'!$A$2:$C$183,3,FALSE)</f>
        <v>#N/A</v>
      </c>
      <c r="G80" s="3" t="s">
        <v>706</v>
      </c>
      <c r="H80" s="2" t="s">
        <v>955</v>
      </c>
      <c r="I80" s="5">
        <v>1</v>
      </c>
      <c r="J80" s="6">
        <f>COUNTIF(Table1[[#This Row],[Management Zone]:[AWS Credentials]],"*")</f>
        <v>0</v>
      </c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2" t="s">
        <v>1018</v>
      </c>
      <c r="AA80"/>
      <c r="AC80"/>
      <c r="AE80"/>
      <c r="AG80"/>
      <c r="AJ80"/>
      <c r="AK80"/>
    </row>
    <row r="81" spans="1:37" x14ac:dyDescent="0.2">
      <c r="A81" s="2" t="s">
        <v>280</v>
      </c>
      <c r="B81" s="3" t="s">
        <v>698</v>
      </c>
      <c r="C81" s="2" t="s">
        <v>66</v>
      </c>
      <c r="D81" s="2" t="s">
        <v>1017</v>
      </c>
      <c r="E81" s="2" t="s">
        <v>708</v>
      </c>
      <c r="F81" s="2" t="e">
        <f>VLOOKUP($B81,'Schema Import'!$A$2:$C$183,3,FALSE)</f>
        <v>#N/A</v>
      </c>
      <c r="G81" s="3" t="s">
        <v>706</v>
      </c>
      <c r="H81" s="2" t="s">
        <v>954</v>
      </c>
      <c r="I81" s="5">
        <v>1</v>
      </c>
      <c r="J81" s="6">
        <f>COUNTIF(Table1[[#This Row],[Management Zone]:[AWS Credentials]],"*")</f>
        <v>0</v>
      </c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2" t="s">
        <v>1018</v>
      </c>
      <c r="AA81"/>
      <c r="AC81"/>
      <c r="AE81"/>
      <c r="AG81"/>
      <c r="AJ81"/>
      <c r="AK81"/>
    </row>
    <row r="82" spans="1:37" x14ac:dyDescent="0.2">
      <c r="A82" s="2" t="s">
        <v>249</v>
      </c>
      <c r="B82" s="3" t="s">
        <v>675</v>
      </c>
      <c r="C82" s="2" t="s">
        <v>35</v>
      </c>
      <c r="D82" s="2" t="s">
        <v>963</v>
      </c>
      <c r="E82" s="2" t="s">
        <v>460</v>
      </c>
      <c r="F82" s="2" t="str">
        <f>VLOOKUP($B82,'Schema Import'!$A$2:$C$183,3,FALSE)</f>
        <v>1.0.3</v>
      </c>
      <c r="G82" s="2" t="s">
        <v>704</v>
      </c>
      <c r="H82" s="2" t="s">
        <v>951</v>
      </c>
      <c r="I82" s="5">
        <v>1</v>
      </c>
      <c r="J82" s="5">
        <f>COUNTIF(Table1[[#This Row],[Management Zone]:[AWS Credentials]],"*")</f>
        <v>0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2" t="s">
        <v>674</v>
      </c>
      <c r="AA82"/>
      <c r="AC82"/>
      <c r="AE82"/>
      <c r="AG82"/>
      <c r="AJ82"/>
      <c r="AK82"/>
    </row>
    <row r="83" spans="1:37" x14ac:dyDescent="0.2">
      <c r="A83" s="2" t="s">
        <v>250</v>
      </c>
      <c r="B83" s="3" t="s">
        <v>676</v>
      </c>
      <c r="C83" s="2" t="s">
        <v>36</v>
      </c>
      <c r="D83" s="2" t="s">
        <v>963</v>
      </c>
      <c r="E83" s="2" t="s">
        <v>489</v>
      </c>
      <c r="F83" s="2" t="str">
        <f>VLOOKUP($B83,'Schema Import'!$A$2:$C$183,3,FALSE)</f>
        <v>0.0.8</v>
      </c>
      <c r="G83" s="2" t="s">
        <v>704</v>
      </c>
      <c r="H83" s="2" t="s">
        <v>951</v>
      </c>
      <c r="I83" s="5">
        <v>1</v>
      </c>
      <c r="J83" s="5">
        <f>COUNTIF(Table1[[#This Row],[Management Zone]:[AWS Credentials]],"*")</f>
        <v>0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2" t="s">
        <v>674</v>
      </c>
      <c r="AA83"/>
      <c r="AC83"/>
      <c r="AE83"/>
      <c r="AG83"/>
      <c r="AJ83"/>
      <c r="AK83"/>
    </row>
    <row r="84" spans="1:37" x14ac:dyDescent="0.2">
      <c r="A84" s="2" t="s">
        <v>398</v>
      </c>
      <c r="B84" s="3" t="s">
        <v>506</v>
      </c>
      <c r="C84" s="2" t="s">
        <v>183</v>
      </c>
      <c r="D84" s="2" t="s">
        <v>963</v>
      </c>
      <c r="E84" s="2">
        <v>5.5</v>
      </c>
      <c r="F84" s="2" t="str">
        <f>VLOOKUP($B84,'Schema Import'!$A$2:$C$183,3,FALSE)</f>
        <v>5.5</v>
      </c>
      <c r="G84" s="2" t="s">
        <v>704</v>
      </c>
      <c r="H84" s="2" t="s">
        <v>951</v>
      </c>
      <c r="I84" s="5">
        <v>1</v>
      </c>
      <c r="J84" s="5">
        <f>COUNTIF(Table1[[#This Row],[Management Zone]:[AWS Credentials]],"*")</f>
        <v>0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3"/>
      <c r="AA84"/>
      <c r="AC84"/>
      <c r="AE84"/>
      <c r="AG84"/>
      <c r="AJ84"/>
      <c r="AK84"/>
    </row>
    <row r="85" spans="1:37" x14ac:dyDescent="0.2">
      <c r="A85" s="2" t="s">
        <v>235</v>
      </c>
      <c r="B85" s="3" t="s">
        <v>685</v>
      </c>
      <c r="C85" s="2" t="s">
        <v>21</v>
      </c>
      <c r="D85" s="2" t="s">
        <v>963</v>
      </c>
      <c r="E85" s="2" t="s">
        <v>686</v>
      </c>
      <c r="F85" s="2" t="str">
        <f>VLOOKUP($B85,'Schema Import'!$A$2:$C$183,3,FALSE)</f>
        <v>1.4.8</v>
      </c>
      <c r="G85" s="2" t="s">
        <v>704</v>
      </c>
      <c r="H85" s="2" t="s">
        <v>951</v>
      </c>
      <c r="I85" s="5">
        <v>3</v>
      </c>
      <c r="J85" s="5">
        <f>COUNTIF(Table1[[#This Row],[Management Zone]:[AWS Credentials]],"*")</f>
        <v>1</v>
      </c>
      <c r="K85" s="5"/>
      <c r="L85" s="5" t="s">
        <v>709</v>
      </c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2" t="s">
        <v>1002</v>
      </c>
      <c r="AA85"/>
      <c r="AC85"/>
      <c r="AE85"/>
      <c r="AG85"/>
      <c r="AJ85"/>
      <c r="AK85"/>
    </row>
    <row r="86" spans="1:37" x14ac:dyDescent="0.2">
      <c r="A86" s="2" t="s">
        <v>262</v>
      </c>
      <c r="B86" s="3" t="s">
        <v>650</v>
      </c>
      <c r="C86" s="2" t="s">
        <v>48</v>
      </c>
      <c r="D86" s="2" t="s">
        <v>963</v>
      </c>
      <c r="E86" s="2" t="s">
        <v>708</v>
      </c>
      <c r="F86" s="2" t="e">
        <f>VLOOKUP($B86,'Schema Import'!$A$2:$C$183,3,FALSE)</f>
        <v>#N/A</v>
      </c>
      <c r="G86" s="3" t="s">
        <v>705</v>
      </c>
      <c r="H86" s="2" t="s">
        <v>956</v>
      </c>
      <c r="I86" s="5">
        <v>5</v>
      </c>
      <c r="J86" s="6">
        <f>COUNTIF(Table1[[#This Row],[Management Zone]:[AWS Credentials]],"*")</f>
        <v>8</v>
      </c>
      <c r="K86" s="6" t="s">
        <v>709</v>
      </c>
      <c r="L86" s="6"/>
      <c r="M86" s="6"/>
      <c r="N86" s="6" t="s">
        <v>709</v>
      </c>
      <c r="O86" s="6" t="s">
        <v>709</v>
      </c>
      <c r="P86" s="6" t="s">
        <v>709</v>
      </c>
      <c r="Q86" s="6" t="s">
        <v>709</v>
      </c>
      <c r="R86" s="6" t="s">
        <v>709</v>
      </c>
      <c r="S86" s="6" t="s">
        <v>709</v>
      </c>
      <c r="T86" s="6" t="s">
        <v>709</v>
      </c>
      <c r="U86" s="6"/>
      <c r="V86" s="6"/>
      <c r="W86" s="6"/>
      <c r="X86" s="6"/>
      <c r="Y86" s="6"/>
      <c r="Z86" s="3" t="s">
        <v>1020</v>
      </c>
      <c r="AA86"/>
      <c r="AC86"/>
      <c r="AE86"/>
      <c r="AG86"/>
      <c r="AJ86"/>
      <c r="AK86"/>
    </row>
    <row r="87" spans="1:37" x14ac:dyDescent="0.2">
      <c r="A87" s="2" t="s">
        <v>367</v>
      </c>
      <c r="B87" s="3" t="s">
        <v>444</v>
      </c>
      <c r="C87" s="2" t="s">
        <v>152</v>
      </c>
      <c r="D87" s="2" t="s">
        <v>963</v>
      </c>
      <c r="E87" s="2">
        <v>1.3</v>
      </c>
      <c r="F87" s="2" t="str">
        <f>VLOOKUP($B87,'Schema Import'!$A$2:$C$183,3,FALSE)</f>
        <v>1.3</v>
      </c>
      <c r="G87" s="2" t="s">
        <v>704</v>
      </c>
      <c r="H87" s="2" t="s">
        <v>951</v>
      </c>
      <c r="I87" s="5">
        <v>1</v>
      </c>
      <c r="J87" s="5">
        <f>COUNTIF(Table1[[#This Row],[Management Zone]:[AWS Credentials]],"*")</f>
        <v>0</v>
      </c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3"/>
      <c r="AA87"/>
      <c r="AC87"/>
      <c r="AE87"/>
      <c r="AG87"/>
      <c r="AJ87"/>
      <c r="AK87"/>
    </row>
    <row r="88" spans="1:37" x14ac:dyDescent="0.2">
      <c r="A88" s="2" t="s">
        <v>259</v>
      </c>
      <c r="B88" s="3" t="s">
        <v>645</v>
      </c>
      <c r="C88" s="2" t="s">
        <v>45</v>
      </c>
      <c r="D88" s="2" t="s">
        <v>972</v>
      </c>
      <c r="E88" s="2" t="s">
        <v>708</v>
      </c>
      <c r="F88" s="2" t="e">
        <f>VLOOKUP($B88,'Schema Import'!$A$2:$C$183,3,FALSE)</f>
        <v>#N/A</v>
      </c>
      <c r="G88" s="3" t="s">
        <v>705</v>
      </c>
      <c r="H88" s="2" t="s">
        <v>956</v>
      </c>
      <c r="I88" s="5">
        <v>1</v>
      </c>
      <c r="J88" s="6">
        <f>COUNTIF(Table1[[#This Row],[Management Zone]:[AWS Credentials]],"*")</f>
        <v>0</v>
      </c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3" t="s">
        <v>991</v>
      </c>
      <c r="AA88"/>
      <c r="AC88"/>
      <c r="AE88"/>
      <c r="AG88"/>
      <c r="AJ88"/>
      <c r="AK88"/>
    </row>
    <row r="89" spans="1:37" x14ac:dyDescent="0.2">
      <c r="A89" s="2" t="s">
        <v>368</v>
      </c>
      <c r="B89" s="3" t="s">
        <v>445</v>
      </c>
      <c r="C89" s="2" t="s">
        <v>153</v>
      </c>
      <c r="D89" s="2" t="s">
        <v>963</v>
      </c>
      <c r="E89" s="2">
        <v>1.1000000000000001</v>
      </c>
      <c r="F89" s="2" t="str">
        <f>VLOOKUP($B89,'Schema Import'!$A$2:$C$183,3,FALSE)</f>
        <v>1.1</v>
      </c>
      <c r="G89" s="2" t="s">
        <v>704</v>
      </c>
      <c r="H89" s="2" t="s">
        <v>951</v>
      </c>
      <c r="I89" s="5">
        <v>1</v>
      </c>
      <c r="J89" s="5">
        <f>COUNTIF(Table1[[#This Row],[Management Zone]:[AWS Credentials]],"*")</f>
        <v>0</v>
      </c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3"/>
      <c r="AA89"/>
      <c r="AC89"/>
      <c r="AE89"/>
      <c r="AG89"/>
      <c r="AJ89"/>
      <c r="AK89"/>
    </row>
    <row r="90" spans="1:37" x14ac:dyDescent="0.2">
      <c r="A90" s="2" t="s">
        <v>369</v>
      </c>
      <c r="B90" s="3" t="s">
        <v>446</v>
      </c>
      <c r="C90" s="2" t="s">
        <v>154</v>
      </c>
      <c r="D90" s="2" t="s">
        <v>963</v>
      </c>
      <c r="E90" s="2" t="s">
        <v>447</v>
      </c>
      <c r="F90" s="2" t="str">
        <f>VLOOKUP($B90,'Schema Import'!$A$2:$C$183,3,FALSE)</f>
        <v>1.2.2</v>
      </c>
      <c r="G90" s="2" t="s">
        <v>704</v>
      </c>
      <c r="H90" s="2" t="s">
        <v>951</v>
      </c>
      <c r="I90" s="5">
        <v>1</v>
      </c>
      <c r="J90" s="5">
        <f>COUNTIF(Table1[[#This Row],[Management Zone]:[AWS Credentials]],"*")</f>
        <v>0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3"/>
      <c r="AA90"/>
      <c r="AC90"/>
      <c r="AE90"/>
      <c r="AG90"/>
      <c r="AJ90"/>
      <c r="AK90"/>
    </row>
    <row r="91" spans="1:37" x14ac:dyDescent="0.2">
      <c r="A91" s="2" t="s">
        <v>406</v>
      </c>
      <c r="B91" s="3" t="s">
        <v>448</v>
      </c>
      <c r="C91" s="2" t="s">
        <v>191</v>
      </c>
      <c r="D91" s="2" t="s">
        <v>963</v>
      </c>
      <c r="E91" s="2">
        <v>1</v>
      </c>
      <c r="F91" s="2" t="str">
        <f>VLOOKUP($B91,'Schema Import'!$A$2:$C$183,3,FALSE)</f>
        <v>1</v>
      </c>
      <c r="G91" s="2" t="s">
        <v>704</v>
      </c>
      <c r="H91" s="2" t="s">
        <v>951</v>
      </c>
      <c r="I91" s="5">
        <v>1</v>
      </c>
      <c r="J91" s="5">
        <f>COUNTIF(Table1[[#This Row],[Management Zone]:[AWS Credentials]],"*")</f>
        <v>0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3"/>
      <c r="AA91"/>
      <c r="AC91"/>
      <c r="AE91"/>
      <c r="AG91"/>
      <c r="AJ91"/>
      <c r="AK91"/>
    </row>
    <row r="92" spans="1:37" x14ac:dyDescent="0.2">
      <c r="A92" s="2" t="s">
        <v>370</v>
      </c>
      <c r="B92" s="3" t="s">
        <v>449</v>
      </c>
      <c r="C92" s="2" t="s">
        <v>155</v>
      </c>
      <c r="D92" s="2" t="s">
        <v>963</v>
      </c>
      <c r="E92" s="2">
        <v>1.7</v>
      </c>
      <c r="F92" s="2" t="str">
        <f>VLOOKUP($B92,'Schema Import'!$A$2:$C$183,3,FALSE)</f>
        <v>1.7</v>
      </c>
      <c r="G92" s="2" t="s">
        <v>704</v>
      </c>
      <c r="H92" s="2" t="s">
        <v>951</v>
      </c>
      <c r="I92" s="5">
        <v>1</v>
      </c>
      <c r="J92" s="5">
        <f>COUNTIF(Table1[[#This Row],[Management Zone]:[AWS Credentials]],"*")</f>
        <v>0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3"/>
      <c r="AA92"/>
      <c r="AC92"/>
      <c r="AE92"/>
      <c r="AG92"/>
      <c r="AJ92"/>
      <c r="AK92"/>
    </row>
    <row r="93" spans="1:37" x14ac:dyDescent="0.2">
      <c r="A93" s="2" t="s">
        <v>252</v>
      </c>
      <c r="B93" s="3" t="s">
        <v>679</v>
      </c>
      <c r="C93" s="2" t="s">
        <v>38</v>
      </c>
      <c r="D93" s="2" t="s">
        <v>963</v>
      </c>
      <c r="E93" s="2" t="s">
        <v>680</v>
      </c>
      <c r="F93" s="2" t="str">
        <f>VLOOKUP($B93,'Schema Import'!$A$2:$C$183,3,FALSE)</f>
        <v>0.1.7</v>
      </c>
      <c r="G93" s="2" t="s">
        <v>704</v>
      </c>
      <c r="H93" s="2" t="s">
        <v>951</v>
      </c>
      <c r="I93" s="5">
        <v>1</v>
      </c>
      <c r="J93" s="5">
        <f>COUNTIF(Table1[[#This Row],[Management Zone]:[AWS Credentials]],"*")</f>
        <v>0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2" t="s">
        <v>674</v>
      </c>
      <c r="AA93"/>
      <c r="AC93"/>
      <c r="AE93"/>
      <c r="AG93"/>
      <c r="AJ93"/>
      <c r="AK93"/>
    </row>
    <row r="94" spans="1:37" x14ac:dyDescent="0.2">
      <c r="A94" s="2" t="s">
        <v>418</v>
      </c>
      <c r="B94" s="3" t="s">
        <v>466</v>
      </c>
      <c r="C94" s="2" t="s">
        <v>203</v>
      </c>
      <c r="D94" s="2" t="s">
        <v>963</v>
      </c>
      <c r="E94" s="2">
        <v>2.5</v>
      </c>
      <c r="F94" s="2" t="str">
        <f>VLOOKUP($B94,'Schema Import'!$A$2:$C$183,3,FALSE)</f>
        <v>2.5</v>
      </c>
      <c r="G94" s="2" t="s">
        <v>704</v>
      </c>
      <c r="H94" s="2" t="s">
        <v>951</v>
      </c>
      <c r="I94" s="5">
        <v>1</v>
      </c>
      <c r="J94" s="5">
        <f>COUNTIF(Table1[[#This Row],[Management Zone]:[AWS Credentials]],"*")</f>
        <v>0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3" t="s">
        <v>992</v>
      </c>
      <c r="AA94"/>
      <c r="AC94"/>
      <c r="AE94"/>
      <c r="AG94"/>
      <c r="AJ94"/>
      <c r="AK94"/>
    </row>
    <row r="95" spans="1:37" x14ac:dyDescent="0.2">
      <c r="A95" s="2" t="s">
        <v>387</v>
      </c>
      <c r="B95" s="3" t="s">
        <v>510</v>
      </c>
      <c r="C95" s="2" t="s">
        <v>172</v>
      </c>
      <c r="D95" s="2" t="s">
        <v>963</v>
      </c>
      <c r="E95" s="2" t="s">
        <v>460</v>
      </c>
      <c r="F95" s="2" t="str">
        <f>VLOOKUP($B95,'Schema Import'!$A$2:$C$183,3,FALSE)</f>
        <v>1.0.3</v>
      </c>
      <c r="G95" s="2" t="s">
        <v>704</v>
      </c>
      <c r="H95" s="2" t="s">
        <v>951</v>
      </c>
      <c r="I95" s="5">
        <v>1</v>
      </c>
      <c r="J95" s="5">
        <f>COUNTIF(Table1[[#This Row],[Management Zone]:[AWS Credentials]],"*")</f>
        <v>0</v>
      </c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3"/>
      <c r="AA95"/>
      <c r="AC95"/>
      <c r="AE95"/>
      <c r="AG95"/>
      <c r="AJ95"/>
      <c r="AK95"/>
    </row>
    <row r="96" spans="1:37" x14ac:dyDescent="0.2">
      <c r="A96" s="2" t="s">
        <v>384</v>
      </c>
      <c r="B96" s="3" t="s">
        <v>511</v>
      </c>
      <c r="C96" s="2" t="s">
        <v>169</v>
      </c>
      <c r="D96" s="2" t="s">
        <v>963</v>
      </c>
      <c r="E96" s="2" t="s">
        <v>512</v>
      </c>
      <c r="F96" s="2" t="str">
        <f>VLOOKUP($B96,'Schema Import'!$A$2:$C$183,3,FALSE)</f>
        <v>1.0.10</v>
      </c>
      <c r="G96" s="2" t="s">
        <v>704</v>
      </c>
      <c r="H96" s="2" t="s">
        <v>951</v>
      </c>
      <c r="I96" s="5">
        <v>1</v>
      </c>
      <c r="J96" s="5">
        <f>COUNTIF(Table1[[#This Row],[Management Zone]:[AWS Credentials]],"*")</f>
        <v>0</v>
      </c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3"/>
      <c r="AA96"/>
      <c r="AC96"/>
      <c r="AE96"/>
      <c r="AG96"/>
      <c r="AJ96"/>
      <c r="AK96"/>
    </row>
    <row r="97" spans="1:37" x14ac:dyDescent="0.2">
      <c r="A97" s="2" t="s">
        <v>416</v>
      </c>
      <c r="B97" s="3" t="s">
        <v>507</v>
      </c>
      <c r="C97" s="2" t="s">
        <v>201</v>
      </c>
      <c r="D97" s="2" t="s">
        <v>963</v>
      </c>
      <c r="E97" s="2">
        <v>1</v>
      </c>
      <c r="F97" s="2" t="str">
        <f>VLOOKUP($B97,'Schema Import'!$A$2:$C$183,3,FALSE)</f>
        <v>1.0.2</v>
      </c>
      <c r="G97" s="2" t="s">
        <v>704</v>
      </c>
      <c r="H97" s="2" t="s">
        <v>951</v>
      </c>
      <c r="I97" s="5">
        <v>1</v>
      </c>
      <c r="J97" s="5">
        <f>COUNTIF(Table1[[#This Row],[Management Zone]:[AWS Credentials]],"*")</f>
        <v>0</v>
      </c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3"/>
      <c r="AA97"/>
      <c r="AC97"/>
      <c r="AE97"/>
      <c r="AG97"/>
      <c r="AJ97"/>
      <c r="AK97"/>
    </row>
    <row r="98" spans="1:37" x14ac:dyDescent="0.2">
      <c r="A98" s="2" t="s">
        <v>381</v>
      </c>
      <c r="B98" s="3" t="s">
        <v>515</v>
      </c>
      <c r="C98" s="2" t="s">
        <v>166</v>
      </c>
      <c r="D98" s="2" t="s">
        <v>963</v>
      </c>
      <c r="E98" s="2" t="s">
        <v>516</v>
      </c>
      <c r="F98" s="2" t="str">
        <f>VLOOKUP($B98,'Schema Import'!$A$2:$C$183,3,FALSE)</f>
        <v>3.2.3</v>
      </c>
      <c r="G98" s="2" t="s">
        <v>704</v>
      </c>
      <c r="H98" s="2" t="s">
        <v>951</v>
      </c>
      <c r="I98" s="5">
        <v>1</v>
      </c>
      <c r="J98" s="5">
        <f>COUNTIF(Table1[[#This Row],[Management Zone]:[AWS Credentials]],"*")</f>
        <v>0</v>
      </c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3"/>
      <c r="AA98"/>
      <c r="AC98"/>
      <c r="AE98"/>
      <c r="AG98"/>
      <c r="AJ98"/>
      <c r="AK98"/>
    </row>
    <row r="99" spans="1:37" x14ac:dyDescent="0.2">
      <c r="A99" s="2" t="s">
        <v>383</v>
      </c>
      <c r="B99" s="3" t="s">
        <v>517</v>
      </c>
      <c r="C99" s="2" t="s">
        <v>168</v>
      </c>
      <c r="D99" s="2" t="s">
        <v>963</v>
      </c>
      <c r="E99" s="2" t="s">
        <v>493</v>
      </c>
      <c r="F99" s="2" t="str">
        <f>VLOOKUP($B99,'Schema Import'!$A$2:$C$183,3,FALSE)</f>
        <v>0.0.3</v>
      </c>
      <c r="G99" s="2" t="s">
        <v>704</v>
      </c>
      <c r="H99" s="2" t="s">
        <v>951</v>
      </c>
      <c r="I99" s="5">
        <v>1</v>
      </c>
      <c r="J99" s="5">
        <f>COUNTIF(Table1[[#This Row],[Management Zone]:[AWS Credentials]],"*")</f>
        <v>0</v>
      </c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3"/>
      <c r="AA99"/>
      <c r="AC99"/>
      <c r="AE99"/>
      <c r="AG99"/>
      <c r="AJ99"/>
      <c r="AK99"/>
    </row>
    <row r="100" spans="1:37" x14ac:dyDescent="0.2">
      <c r="A100" s="2" t="s">
        <v>319</v>
      </c>
      <c r="B100" s="3" t="s">
        <v>519</v>
      </c>
      <c r="C100" s="2" t="s">
        <v>105</v>
      </c>
      <c r="D100" s="2" t="s">
        <v>963</v>
      </c>
      <c r="E100" s="2" t="s">
        <v>520</v>
      </c>
      <c r="F100" s="2" t="str">
        <f>VLOOKUP($B100,'Schema Import'!$A$2:$C$183,3,FALSE)</f>
        <v>8.0.47</v>
      </c>
      <c r="G100" s="2" t="s">
        <v>704</v>
      </c>
      <c r="H100" s="2" t="s">
        <v>951</v>
      </c>
      <c r="I100" s="5">
        <v>1</v>
      </c>
      <c r="J100" s="5">
        <f>COUNTIF(Table1[[#This Row],[Management Zone]:[AWS Credentials]],"*")</f>
        <v>0</v>
      </c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3"/>
      <c r="AA100"/>
      <c r="AC100"/>
      <c r="AE100"/>
      <c r="AG100"/>
      <c r="AJ100"/>
      <c r="AK100"/>
    </row>
    <row r="101" spans="1:37" x14ac:dyDescent="0.2">
      <c r="A101" s="2" t="s">
        <v>397</v>
      </c>
      <c r="B101" s="3" t="s">
        <v>508</v>
      </c>
      <c r="C101" s="2" t="s">
        <v>182</v>
      </c>
      <c r="D101" s="2" t="s">
        <v>963</v>
      </c>
      <c r="E101" s="2" t="s">
        <v>509</v>
      </c>
      <c r="F101" s="2" t="str">
        <f>VLOOKUP($B101,'Schema Import'!$A$2:$C$183,3,FALSE)</f>
        <v>1.1.12</v>
      </c>
      <c r="G101" s="2" t="s">
        <v>704</v>
      </c>
      <c r="H101" s="2" t="s">
        <v>951</v>
      </c>
      <c r="I101" s="5">
        <v>1</v>
      </c>
      <c r="J101" s="5">
        <f>COUNTIF(Table1[[#This Row],[Management Zone]:[AWS Credentials]],"*")</f>
        <v>0</v>
      </c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3"/>
      <c r="AA101"/>
      <c r="AC101"/>
      <c r="AE101"/>
      <c r="AG101"/>
      <c r="AJ101"/>
      <c r="AK101"/>
    </row>
    <row r="102" spans="1:37" x14ac:dyDescent="0.2">
      <c r="A102" s="2" t="s">
        <v>380</v>
      </c>
      <c r="B102" s="3" t="s">
        <v>513</v>
      </c>
      <c r="C102" s="2" t="s">
        <v>165</v>
      </c>
      <c r="D102" s="2" t="s">
        <v>963</v>
      </c>
      <c r="E102" s="2" t="s">
        <v>514</v>
      </c>
      <c r="F102" s="2" t="str">
        <f>VLOOKUP($B102,'Schema Import'!$A$2:$C$183,3,FALSE)</f>
        <v>1.0.15</v>
      </c>
      <c r="G102" s="2" t="s">
        <v>704</v>
      </c>
      <c r="H102" s="2" t="s">
        <v>951</v>
      </c>
      <c r="I102" s="5">
        <v>1</v>
      </c>
      <c r="J102" s="5">
        <f>COUNTIF(Table1[[#This Row],[Management Zone]:[AWS Credentials]],"*")</f>
        <v>0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3"/>
      <c r="AA102"/>
      <c r="AC102"/>
      <c r="AE102"/>
      <c r="AG102"/>
      <c r="AJ102"/>
      <c r="AK102"/>
    </row>
    <row r="103" spans="1:37" x14ac:dyDescent="0.2">
      <c r="A103" s="2" t="s">
        <v>385</v>
      </c>
      <c r="B103" s="3" t="s">
        <v>521</v>
      </c>
      <c r="C103" s="2" t="s">
        <v>170</v>
      </c>
      <c r="D103" s="2" t="s">
        <v>963</v>
      </c>
      <c r="E103" s="2">
        <v>1</v>
      </c>
      <c r="F103" s="2" t="str">
        <f>VLOOKUP($B103,'Schema Import'!$A$2:$C$183,3,FALSE)</f>
        <v>1</v>
      </c>
      <c r="G103" s="2" t="s">
        <v>704</v>
      </c>
      <c r="H103" s="2" t="s">
        <v>951</v>
      </c>
      <c r="I103" s="5">
        <v>1</v>
      </c>
      <c r="J103" s="5">
        <f>COUNTIF(Table1[[#This Row],[Management Zone]:[AWS Credentials]],"*")</f>
        <v>0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3"/>
      <c r="AA103"/>
      <c r="AC103"/>
      <c r="AE103"/>
      <c r="AG103"/>
      <c r="AJ103"/>
      <c r="AK103"/>
    </row>
    <row r="104" spans="1:37" x14ac:dyDescent="0.2">
      <c r="A104" s="2" t="s">
        <v>386</v>
      </c>
      <c r="B104" s="3" t="s">
        <v>518</v>
      </c>
      <c r="C104" s="2" t="s">
        <v>171</v>
      </c>
      <c r="D104" s="2" t="s">
        <v>963</v>
      </c>
      <c r="E104" s="2">
        <v>1</v>
      </c>
      <c r="F104" s="2" t="str">
        <f>VLOOKUP($B104,'Schema Import'!$A$2:$C$183,3,FALSE)</f>
        <v>1</v>
      </c>
      <c r="G104" s="2" t="s">
        <v>704</v>
      </c>
      <c r="H104" s="2" t="s">
        <v>951</v>
      </c>
      <c r="I104" s="5">
        <v>1</v>
      </c>
      <c r="J104" s="5">
        <f>COUNTIF(Table1[[#This Row],[Management Zone]:[AWS Credentials]],"*")</f>
        <v>0</v>
      </c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3"/>
      <c r="AA104"/>
      <c r="AC104"/>
      <c r="AE104"/>
      <c r="AG104"/>
      <c r="AJ104"/>
      <c r="AK104"/>
    </row>
    <row r="105" spans="1:37" x14ac:dyDescent="0.2">
      <c r="A105" s="2" t="s">
        <v>382</v>
      </c>
      <c r="B105" s="3" t="s">
        <v>522</v>
      </c>
      <c r="C105" s="2" t="s">
        <v>167</v>
      </c>
      <c r="D105" s="2" t="s">
        <v>963</v>
      </c>
      <c r="E105" s="2" t="s">
        <v>438</v>
      </c>
      <c r="F105" s="2" t="str">
        <f>VLOOKUP($B105,'Schema Import'!$A$2:$C$183,3,FALSE)</f>
        <v>1.0.1</v>
      </c>
      <c r="G105" s="2" t="s">
        <v>704</v>
      </c>
      <c r="H105" s="2" t="s">
        <v>951</v>
      </c>
      <c r="I105" s="5">
        <v>1</v>
      </c>
      <c r="J105" s="5">
        <f>COUNTIF(Table1[[#This Row],[Management Zone]:[AWS Credentials]],"*")</f>
        <v>0</v>
      </c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3"/>
      <c r="AA105"/>
      <c r="AC105"/>
      <c r="AE105"/>
      <c r="AG105"/>
      <c r="AJ105"/>
      <c r="AK105"/>
    </row>
    <row r="106" spans="1:37" x14ac:dyDescent="0.2">
      <c r="A106" s="2" t="s">
        <v>330</v>
      </c>
      <c r="B106" s="3" t="s">
        <v>523</v>
      </c>
      <c r="C106" s="2" t="s">
        <v>116</v>
      </c>
      <c r="D106" s="2" t="s">
        <v>963</v>
      </c>
      <c r="E106" s="2" t="s">
        <v>524</v>
      </c>
      <c r="F106" s="2" t="str">
        <f>VLOOKUP($B106,'Schema Import'!$A$2:$C$183,3,FALSE)</f>
        <v>1.6.2</v>
      </c>
      <c r="G106" s="2" t="s">
        <v>704</v>
      </c>
      <c r="H106" s="2" t="s">
        <v>951</v>
      </c>
      <c r="I106" s="5">
        <v>1</v>
      </c>
      <c r="J106" s="5">
        <f>COUNTIF(Table1[[#This Row],[Management Zone]:[AWS Credentials]],"*")</f>
        <v>0</v>
      </c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3"/>
      <c r="AA106"/>
      <c r="AC106"/>
      <c r="AE106"/>
      <c r="AG106"/>
      <c r="AJ106"/>
      <c r="AK106"/>
    </row>
    <row r="107" spans="1:37" x14ac:dyDescent="0.2">
      <c r="A107" s="2" t="s">
        <v>253</v>
      </c>
      <c r="B107" s="3" t="s">
        <v>681</v>
      </c>
      <c r="C107" s="2" t="s">
        <v>39</v>
      </c>
      <c r="D107" s="2" t="s">
        <v>963</v>
      </c>
      <c r="E107" s="2" t="s">
        <v>682</v>
      </c>
      <c r="F107" s="2" t="str">
        <f>VLOOKUP($B107,'Schema Import'!$A$2:$C$183,3,FALSE)</f>
        <v>2.14.2</v>
      </c>
      <c r="G107" s="2" t="s">
        <v>704</v>
      </c>
      <c r="H107" s="2" t="s">
        <v>951</v>
      </c>
      <c r="I107" s="5">
        <v>2</v>
      </c>
      <c r="J107" s="5">
        <f>COUNTIF(Table1[[#This Row],[Management Zone]:[AWS Credentials]],"*")</f>
        <v>1</v>
      </c>
      <c r="K107" s="5" t="s">
        <v>709</v>
      </c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2" t="s">
        <v>995</v>
      </c>
      <c r="AA107"/>
      <c r="AC107"/>
      <c r="AE107"/>
      <c r="AG107"/>
      <c r="AJ107"/>
      <c r="AK107"/>
    </row>
    <row r="108" spans="1:37" x14ac:dyDescent="0.2">
      <c r="A108" s="2" t="s">
        <v>226</v>
      </c>
      <c r="B108" s="3" t="s">
        <v>651</v>
      </c>
      <c r="C108" s="2" t="s">
        <v>12</v>
      </c>
      <c r="D108" s="2" t="s">
        <v>971</v>
      </c>
      <c r="E108" s="2" t="s">
        <v>708</v>
      </c>
      <c r="F108" s="2" t="e">
        <f>VLOOKUP($B108,'Schema Import'!$A$2:$C$183,3,FALSE)</f>
        <v>#N/A</v>
      </c>
      <c r="G108" s="3" t="s">
        <v>705</v>
      </c>
      <c r="H108" s="2" t="s">
        <v>956</v>
      </c>
      <c r="I108" s="2" t="s">
        <v>708</v>
      </c>
      <c r="J108" s="3">
        <f>COUNTIF(Table1[[#This Row],[Management Zone]:[AWS Credentials]],"*")</f>
        <v>1</v>
      </c>
      <c r="K108" s="6" t="s">
        <v>709</v>
      </c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3" t="s">
        <v>996</v>
      </c>
      <c r="AA108"/>
      <c r="AC108"/>
      <c r="AE108"/>
      <c r="AG108"/>
      <c r="AJ108"/>
      <c r="AK108"/>
    </row>
    <row r="109" spans="1:37" x14ac:dyDescent="0.2">
      <c r="A109" s="2" t="s">
        <v>227</v>
      </c>
      <c r="B109" s="3" t="s">
        <v>652</v>
      </c>
      <c r="C109" s="2" t="s">
        <v>13</v>
      </c>
      <c r="D109" s="2" t="s">
        <v>972</v>
      </c>
      <c r="E109" s="2" t="s">
        <v>708</v>
      </c>
      <c r="F109" s="2" t="e">
        <f>VLOOKUP($B109,'Schema Import'!$A$2:$C$183,3,FALSE)</f>
        <v>#N/A</v>
      </c>
      <c r="G109" s="3" t="s">
        <v>705</v>
      </c>
      <c r="H109" s="2" t="s">
        <v>956</v>
      </c>
      <c r="I109" s="2" t="s">
        <v>708</v>
      </c>
      <c r="J109" s="3">
        <f>COUNTIF(Table1[[#This Row],[Management Zone]:[AWS Credentials]],"*")</f>
        <v>0</v>
      </c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3" t="s">
        <v>994</v>
      </c>
      <c r="AA109"/>
      <c r="AC109"/>
      <c r="AE109"/>
      <c r="AG109"/>
      <c r="AJ109"/>
      <c r="AK109"/>
    </row>
    <row r="110" spans="1:37" x14ac:dyDescent="0.2">
      <c r="A110" s="2" t="s">
        <v>254</v>
      </c>
      <c r="B110" s="3" t="s">
        <v>683</v>
      </c>
      <c r="C110" s="2" t="s">
        <v>40</v>
      </c>
      <c r="D110" s="2" t="s">
        <v>963</v>
      </c>
      <c r="E110" s="2" t="s">
        <v>465</v>
      </c>
      <c r="F110" s="2" t="str">
        <f>VLOOKUP($B110,'Schema Import'!$A$2:$C$183,3,FALSE)</f>
        <v>1.0.5</v>
      </c>
      <c r="G110" s="2" t="s">
        <v>704</v>
      </c>
      <c r="H110" s="2" t="s">
        <v>951</v>
      </c>
      <c r="I110" s="5">
        <v>1</v>
      </c>
      <c r="J110" s="5">
        <f>COUNTIF(Table1[[#This Row],[Management Zone]:[AWS Credentials]],"*")</f>
        <v>0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2" t="s">
        <v>993</v>
      </c>
      <c r="AA110"/>
      <c r="AC110"/>
      <c r="AE110"/>
      <c r="AG110"/>
      <c r="AJ110"/>
      <c r="AK110"/>
    </row>
    <row r="111" spans="1:37" x14ac:dyDescent="0.2">
      <c r="A111" s="2" t="s">
        <v>248</v>
      </c>
      <c r="B111" s="3" t="s">
        <v>668</v>
      </c>
      <c r="C111" s="2" t="s">
        <v>34</v>
      </c>
      <c r="D111" s="2" t="s">
        <v>963</v>
      </c>
      <c r="E111" s="2" t="s">
        <v>514</v>
      </c>
      <c r="F111" s="2" t="str">
        <f>VLOOKUP($B111,'Schema Import'!$A$2:$C$183,3,FALSE)</f>
        <v>1.0.13</v>
      </c>
      <c r="G111" s="2" t="s">
        <v>704</v>
      </c>
      <c r="H111" s="2" t="s">
        <v>951</v>
      </c>
      <c r="I111" s="5">
        <v>2</v>
      </c>
      <c r="J111" s="5">
        <f>COUNTIF(Table1[[#This Row],[Management Zone]:[AWS Credentials]],"*")</f>
        <v>1</v>
      </c>
      <c r="K111" s="5" t="s">
        <v>709</v>
      </c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3" t="s">
        <v>983</v>
      </c>
      <c r="AA111"/>
      <c r="AC111"/>
      <c r="AE111"/>
      <c r="AG111"/>
      <c r="AJ111"/>
      <c r="AK111"/>
    </row>
    <row r="112" spans="1:37" x14ac:dyDescent="0.2">
      <c r="A112" s="2" t="s">
        <v>363</v>
      </c>
      <c r="B112" s="3" t="s">
        <v>526</v>
      </c>
      <c r="C112" s="2" t="s">
        <v>148</v>
      </c>
      <c r="D112" s="9" t="s">
        <v>963</v>
      </c>
      <c r="E112" s="2">
        <v>4.24</v>
      </c>
      <c r="F112" s="2" t="str">
        <f>VLOOKUP($B112,'Schema Import'!$A$2:$C$183,3,FALSE)</f>
        <v>4.25</v>
      </c>
      <c r="G112" s="2" t="s">
        <v>704</v>
      </c>
      <c r="H112" s="2" t="s">
        <v>951</v>
      </c>
      <c r="I112" s="5">
        <v>1</v>
      </c>
      <c r="J112" s="5">
        <f>COUNTIF(Table1[[#This Row],[Management Zone]:[AWS Credentials]],"*")</f>
        <v>0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3"/>
      <c r="AA112"/>
      <c r="AC112"/>
      <c r="AE112"/>
      <c r="AG112"/>
      <c r="AJ112"/>
      <c r="AK112"/>
    </row>
    <row r="113" spans="1:37" x14ac:dyDescent="0.2">
      <c r="A113" s="2" t="s">
        <v>364</v>
      </c>
      <c r="B113" s="3" t="s">
        <v>527</v>
      </c>
      <c r="C113" s="2" t="s">
        <v>149</v>
      </c>
      <c r="D113" s="9" t="s">
        <v>963</v>
      </c>
      <c r="E113" s="2" t="s">
        <v>528</v>
      </c>
      <c r="F113" s="2" t="str">
        <f>VLOOKUP($B113,'Schema Import'!$A$2:$C$183,3,FALSE)</f>
        <v>4.0.2</v>
      </c>
      <c r="G113" s="2" t="s">
        <v>704</v>
      </c>
      <c r="H113" s="2" t="s">
        <v>951</v>
      </c>
      <c r="I113" s="5">
        <v>1</v>
      </c>
      <c r="J113" s="5">
        <f>COUNTIF(Table1[[#This Row],[Management Zone]:[AWS Credentials]],"*")</f>
        <v>0</v>
      </c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3"/>
      <c r="AA113"/>
      <c r="AC113"/>
      <c r="AE113"/>
      <c r="AG113"/>
      <c r="AJ113"/>
      <c r="AK113"/>
    </row>
    <row r="114" spans="1:37" x14ac:dyDescent="0.2">
      <c r="A114" s="2" t="s">
        <v>299</v>
      </c>
      <c r="B114" s="3" t="s">
        <v>452</v>
      </c>
      <c r="C114" s="2" t="s">
        <v>85</v>
      </c>
      <c r="D114" s="9" t="s">
        <v>963</v>
      </c>
      <c r="E114" s="2" t="s">
        <v>438</v>
      </c>
      <c r="F114" s="2" t="str">
        <f>VLOOKUP($B114,'Schema Import'!$A$2:$C$183,3,FALSE)</f>
        <v>1.0.1</v>
      </c>
      <c r="G114" s="2" t="s">
        <v>704</v>
      </c>
      <c r="H114" s="2" t="s">
        <v>951</v>
      </c>
      <c r="I114" s="5">
        <v>3</v>
      </c>
      <c r="J114" s="5">
        <f>COUNTIF(Table1[[#This Row],[Management Zone]:[AWS Credentials]],"*")</f>
        <v>1</v>
      </c>
      <c r="K114" s="5"/>
      <c r="L114" s="5"/>
      <c r="M114" s="5"/>
      <c r="N114" s="5"/>
      <c r="O114" s="5"/>
      <c r="P114" s="5"/>
      <c r="Q114" s="5" t="s">
        <v>709</v>
      </c>
      <c r="R114" s="5"/>
      <c r="S114" s="5"/>
      <c r="T114" s="5"/>
      <c r="U114" s="5"/>
      <c r="V114" s="5"/>
      <c r="W114" s="5"/>
      <c r="X114" s="5"/>
      <c r="Y114" s="5"/>
      <c r="Z114" s="3"/>
      <c r="AA114"/>
      <c r="AC114"/>
      <c r="AE114"/>
      <c r="AG114"/>
      <c r="AJ114"/>
      <c r="AK114"/>
    </row>
    <row r="115" spans="1:37" x14ac:dyDescent="0.2">
      <c r="A115" s="2" t="s">
        <v>300</v>
      </c>
      <c r="B115" s="3" t="s">
        <v>453</v>
      </c>
      <c r="C115" s="2" t="s">
        <v>86</v>
      </c>
      <c r="D115" s="9" t="s">
        <v>963</v>
      </c>
      <c r="E115" s="2" t="s">
        <v>438</v>
      </c>
      <c r="F115" s="2" t="str">
        <f>VLOOKUP($B115,'Schema Import'!$A$2:$C$183,3,FALSE)</f>
        <v>1.0.1</v>
      </c>
      <c r="G115" s="2" t="s">
        <v>704</v>
      </c>
      <c r="H115" s="2" t="s">
        <v>951</v>
      </c>
      <c r="I115" s="5">
        <v>3</v>
      </c>
      <c r="J115" s="5">
        <f>COUNTIF(Table1[[#This Row],[Management Zone]:[AWS Credentials]],"*")</f>
        <v>1</v>
      </c>
      <c r="K115" s="5"/>
      <c r="L115" s="5"/>
      <c r="M115" s="5"/>
      <c r="N115" s="5"/>
      <c r="O115" s="5"/>
      <c r="P115" s="5"/>
      <c r="Q115" s="5" t="s">
        <v>709</v>
      </c>
      <c r="R115" s="5"/>
      <c r="S115" s="5"/>
      <c r="T115" s="5"/>
      <c r="U115" s="5"/>
      <c r="V115" s="5"/>
      <c r="W115" s="5"/>
      <c r="X115" s="5"/>
      <c r="Y115" s="5"/>
      <c r="Z115" s="3" t="s">
        <v>1013</v>
      </c>
      <c r="AA115"/>
      <c r="AC115"/>
      <c r="AE115"/>
      <c r="AG115"/>
      <c r="AJ115"/>
      <c r="AK115"/>
    </row>
    <row r="116" spans="1:37" x14ac:dyDescent="0.2">
      <c r="A116" s="2" t="s">
        <v>309</v>
      </c>
      <c r="B116" s="3" t="s">
        <v>578</v>
      </c>
      <c r="C116" s="2" t="s">
        <v>95</v>
      </c>
      <c r="D116" s="2" t="s">
        <v>963</v>
      </c>
      <c r="E116" s="2">
        <v>2</v>
      </c>
      <c r="F116" s="2" t="str">
        <f>VLOOKUP($B116,'Schema Import'!$A$2:$C$183,3,FALSE)</f>
        <v>2</v>
      </c>
      <c r="G116" s="2" t="s">
        <v>704</v>
      </c>
      <c r="H116" s="2" t="s">
        <v>951</v>
      </c>
      <c r="I116" s="5">
        <v>3</v>
      </c>
      <c r="J116" s="5">
        <f>COUNTIF(Table1[[#This Row],[Management Zone]:[AWS Credentials]],"*")</f>
        <v>1</v>
      </c>
      <c r="K116" s="5"/>
      <c r="L116" s="5"/>
      <c r="M116" s="5"/>
      <c r="N116" s="5"/>
      <c r="O116" s="5"/>
      <c r="P116" s="5"/>
      <c r="Q116" s="5" t="s">
        <v>709</v>
      </c>
      <c r="R116" s="5"/>
      <c r="S116" s="5"/>
      <c r="T116" s="5"/>
      <c r="U116" s="5"/>
      <c r="V116" s="5"/>
      <c r="W116" s="5"/>
      <c r="X116" s="5"/>
      <c r="Y116" s="5"/>
      <c r="Z116" s="3" t="s">
        <v>1012</v>
      </c>
      <c r="AA116"/>
      <c r="AC116"/>
      <c r="AE116"/>
      <c r="AG116"/>
      <c r="AJ116"/>
      <c r="AK116"/>
    </row>
    <row r="117" spans="1:37" x14ac:dyDescent="0.2">
      <c r="A117" s="2" t="s">
        <v>345</v>
      </c>
      <c r="B117" s="3" t="s">
        <v>579</v>
      </c>
      <c r="C117" s="2" t="s">
        <v>131</v>
      </c>
      <c r="D117" s="2" t="s">
        <v>1006</v>
      </c>
      <c r="E117" s="2" t="s">
        <v>436</v>
      </c>
      <c r="F117" s="2" t="str">
        <f>VLOOKUP($B117,'Schema Import'!$A$2:$C$183,3,FALSE)</f>
        <v>1.0.2</v>
      </c>
      <c r="G117" s="2" t="s">
        <v>704</v>
      </c>
      <c r="H117" s="2" t="s">
        <v>951</v>
      </c>
      <c r="I117" s="5">
        <v>3</v>
      </c>
      <c r="J117" s="5">
        <f>COUNTIF(Table1[[#This Row],[Management Zone]:[AWS Credentials]],"*")</f>
        <v>1</v>
      </c>
      <c r="K117" s="5"/>
      <c r="L117" s="5"/>
      <c r="M117" s="5"/>
      <c r="N117" s="5"/>
      <c r="O117" s="5"/>
      <c r="P117" s="5"/>
      <c r="Q117" s="5" t="s">
        <v>709</v>
      </c>
      <c r="R117" s="5"/>
      <c r="S117" s="5"/>
      <c r="T117" s="5"/>
      <c r="U117" s="5"/>
      <c r="V117" s="5"/>
      <c r="W117" s="5"/>
      <c r="X117" s="5"/>
      <c r="Y117" s="5"/>
      <c r="Z117" s="3" t="s">
        <v>1009</v>
      </c>
      <c r="AA117"/>
      <c r="AC117"/>
      <c r="AE117"/>
      <c r="AG117"/>
      <c r="AJ117"/>
      <c r="AK117"/>
    </row>
    <row r="118" spans="1:37" x14ac:dyDescent="0.2">
      <c r="A118" s="2" t="s">
        <v>225</v>
      </c>
      <c r="B118" s="3" t="s">
        <v>636</v>
      </c>
      <c r="C118" s="2" t="s">
        <v>11</v>
      </c>
      <c r="D118" s="2" t="s">
        <v>963</v>
      </c>
      <c r="E118" s="2" t="s">
        <v>708</v>
      </c>
      <c r="F118" s="2" t="e">
        <f>VLOOKUP($B118,'Schema Import'!$A$2:$C$183,3,FALSE)</f>
        <v>#N/A</v>
      </c>
      <c r="G118" s="3" t="s">
        <v>705</v>
      </c>
      <c r="H118" s="2" t="s">
        <v>956</v>
      </c>
      <c r="I118" s="5">
        <v>2</v>
      </c>
      <c r="J118" s="6">
        <f>COUNTIF(Table1[[#This Row],[Management Zone]:[AWS Credentials]],"*")</f>
        <v>1</v>
      </c>
      <c r="K118" s="6"/>
      <c r="L118" s="6"/>
      <c r="M118" s="6" t="s">
        <v>709</v>
      </c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3"/>
      <c r="AA118"/>
      <c r="AC118"/>
      <c r="AE118"/>
      <c r="AG118"/>
      <c r="AJ118"/>
      <c r="AK118"/>
    </row>
    <row r="119" spans="1:37" x14ac:dyDescent="0.2">
      <c r="A119" s="2" t="s">
        <v>331</v>
      </c>
      <c r="B119" s="3" t="s">
        <v>533</v>
      </c>
      <c r="C119" s="2" t="s">
        <v>117</v>
      </c>
      <c r="D119" s="9" t="s">
        <v>963</v>
      </c>
      <c r="E119" s="3" t="s">
        <v>470</v>
      </c>
      <c r="F119" s="2" t="str">
        <f>VLOOKUP($B119,'Schema Import'!$A$2:$C$183,3,FALSE)</f>
        <v>0.0.1</v>
      </c>
      <c r="G119" s="2" t="s">
        <v>704</v>
      </c>
      <c r="H119" s="2" t="s">
        <v>951</v>
      </c>
      <c r="I119" s="5">
        <v>1</v>
      </c>
      <c r="J119" s="5">
        <f>COUNTIF(Table1[[#This Row],[Management Zone]:[AWS Credentials]],"*")</f>
        <v>0</v>
      </c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3"/>
      <c r="AA119"/>
      <c r="AC119"/>
      <c r="AE119"/>
      <c r="AG119"/>
      <c r="AJ119"/>
      <c r="AK119"/>
    </row>
    <row r="120" spans="1:37" x14ac:dyDescent="0.2">
      <c r="A120" s="2" t="s">
        <v>332</v>
      </c>
      <c r="B120" s="3" t="s">
        <v>534</v>
      </c>
      <c r="C120" s="2" t="s">
        <v>118</v>
      </c>
      <c r="D120" s="9" t="s">
        <v>963</v>
      </c>
      <c r="E120" s="2" t="s">
        <v>470</v>
      </c>
      <c r="F120" s="2" t="str">
        <f>VLOOKUP($B120,'Schema Import'!$A$2:$C$183,3,FALSE)</f>
        <v>0.0.1</v>
      </c>
      <c r="G120" s="2" t="s">
        <v>704</v>
      </c>
      <c r="H120" s="2" t="s">
        <v>951</v>
      </c>
      <c r="I120" s="5">
        <v>1</v>
      </c>
      <c r="J120" s="5">
        <f>COUNTIF(Table1[[#This Row],[Management Zone]:[AWS Credentials]],"*")</f>
        <v>0</v>
      </c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3"/>
      <c r="AA120"/>
      <c r="AC120"/>
      <c r="AE120"/>
      <c r="AG120"/>
      <c r="AJ120"/>
      <c r="AK120"/>
    </row>
    <row r="121" spans="1:37" x14ac:dyDescent="0.2">
      <c r="A121" s="2" t="s">
        <v>333</v>
      </c>
      <c r="B121" s="3" t="s">
        <v>535</v>
      </c>
      <c r="C121" s="2" t="s">
        <v>119</v>
      </c>
      <c r="D121" s="9" t="s">
        <v>963</v>
      </c>
      <c r="E121" s="2" t="s">
        <v>468</v>
      </c>
      <c r="F121" s="2" t="str">
        <f>VLOOKUP($B121,'Schema Import'!$A$2:$C$183,3,FALSE)</f>
        <v>0.0.2</v>
      </c>
      <c r="G121" s="2" t="s">
        <v>704</v>
      </c>
      <c r="H121" s="2" t="s">
        <v>951</v>
      </c>
      <c r="I121" s="5">
        <v>1</v>
      </c>
      <c r="J121" s="5">
        <f>COUNTIF(Table1[[#This Row],[Management Zone]:[AWS Credentials]],"*")</f>
        <v>0</v>
      </c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3"/>
      <c r="AA121"/>
      <c r="AC121"/>
      <c r="AE121"/>
      <c r="AG121"/>
      <c r="AJ121"/>
      <c r="AK121"/>
    </row>
    <row r="122" spans="1:37" x14ac:dyDescent="0.2">
      <c r="A122" s="2" t="s">
        <v>334</v>
      </c>
      <c r="B122" s="3" t="s">
        <v>536</v>
      </c>
      <c r="C122" s="2" t="s">
        <v>120</v>
      </c>
      <c r="D122" s="9" t="s">
        <v>963</v>
      </c>
      <c r="E122" s="2" t="s">
        <v>470</v>
      </c>
      <c r="F122" s="2" t="str">
        <f>VLOOKUP($B122,'Schema Import'!$A$2:$C$183,3,FALSE)</f>
        <v>0.0.1</v>
      </c>
      <c r="G122" s="2" t="s">
        <v>704</v>
      </c>
      <c r="H122" s="2" t="s">
        <v>951</v>
      </c>
      <c r="I122" s="5">
        <v>1</v>
      </c>
      <c r="J122" s="5">
        <f>COUNTIF(Table1[[#This Row],[Management Zone]:[AWS Credentials]],"*")</f>
        <v>0</v>
      </c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3"/>
      <c r="AA122"/>
      <c r="AC122"/>
      <c r="AE122"/>
      <c r="AG122"/>
      <c r="AJ122"/>
      <c r="AK122"/>
    </row>
    <row r="123" spans="1:37" x14ac:dyDescent="0.2">
      <c r="A123" s="2" t="s">
        <v>335</v>
      </c>
      <c r="B123" s="3" t="s">
        <v>537</v>
      </c>
      <c r="C123" s="2" t="s">
        <v>121</v>
      </c>
      <c r="D123" s="9" t="s">
        <v>963</v>
      </c>
      <c r="E123" s="2" t="s">
        <v>470</v>
      </c>
      <c r="F123" s="2" t="str">
        <f>VLOOKUP($B123,'Schema Import'!$A$2:$C$183,3,FALSE)</f>
        <v>0.0.1</v>
      </c>
      <c r="G123" s="2" t="s">
        <v>704</v>
      </c>
      <c r="H123" s="2" t="s">
        <v>951</v>
      </c>
      <c r="I123" s="5">
        <v>1</v>
      </c>
      <c r="J123" s="5">
        <f>COUNTIF(Table1[[#This Row],[Management Zone]:[AWS Credentials]],"*")</f>
        <v>0</v>
      </c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3"/>
      <c r="AA123"/>
      <c r="AC123"/>
      <c r="AE123"/>
      <c r="AG123"/>
      <c r="AJ123"/>
      <c r="AK123"/>
    </row>
    <row r="124" spans="1:37" x14ac:dyDescent="0.2">
      <c r="A124" s="2" t="s">
        <v>336</v>
      </c>
      <c r="B124" s="3" t="s">
        <v>538</v>
      </c>
      <c r="C124" s="2" t="s">
        <v>122</v>
      </c>
      <c r="D124" s="9" t="s">
        <v>963</v>
      </c>
      <c r="E124" s="2" t="s">
        <v>470</v>
      </c>
      <c r="F124" s="2" t="str">
        <f>VLOOKUP($B124,'Schema Import'!$A$2:$C$183,3,FALSE)</f>
        <v>0.0.1</v>
      </c>
      <c r="G124" s="2" t="s">
        <v>704</v>
      </c>
      <c r="H124" s="2" t="s">
        <v>951</v>
      </c>
      <c r="I124" s="5">
        <v>1</v>
      </c>
      <c r="J124" s="5">
        <f>COUNTIF(Table1[[#This Row],[Management Zone]:[AWS Credentials]],"*")</f>
        <v>0</v>
      </c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3"/>
      <c r="AA124"/>
      <c r="AC124"/>
      <c r="AE124"/>
      <c r="AG124"/>
      <c r="AJ124"/>
      <c r="AK124"/>
    </row>
    <row r="125" spans="1:37" x14ac:dyDescent="0.2">
      <c r="A125" s="2" t="s">
        <v>337</v>
      </c>
      <c r="B125" s="3" t="s">
        <v>539</v>
      </c>
      <c r="C125" s="2" t="s">
        <v>123</v>
      </c>
      <c r="D125" s="9" t="s">
        <v>963</v>
      </c>
      <c r="E125" s="2" t="s">
        <v>470</v>
      </c>
      <c r="F125" s="2" t="str">
        <f>VLOOKUP($B125,'Schema Import'!$A$2:$C$183,3,FALSE)</f>
        <v>0.0.1</v>
      </c>
      <c r="G125" s="2" t="s">
        <v>704</v>
      </c>
      <c r="H125" s="2" t="s">
        <v>951</v>
      </c>
      <c r="I125" s="5">
        <v>1</v>
      </c>
      <c r="J125" s="5">
        <f>COUNTIF(Table1[[#This Row],[Management Zone]:[AWS Credentials]],"*")</f>
        <v>0</v>
      </c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3"/>
      <c r="AA125"/>
      <c r="AC125"/>
      <c r="AE125"/>
      <c r="AG125"/>
      <c r="AJ125"/>
      <c r="AK125"/>
    </row>
    <row r="126" spans="1:37" x14ac:dyDescent="0.2">
      <c r="A126" s="2" t="s">
        <v>338</v>
      </c>
      <c r="B126" s="3" t="s">
        <v>540</v>
      </c>
      <c r="C126" s="2" t="s">
        <v>124</v>
      </c>
      <c r="D126" s="9" t="s">
        <v>963</v>
      </c>
      <c r="E126" s="2" t="s">
        <v>468</v>
      </c>
      <c r="F126" s="2" t="str">
        <f>VLOOKUP($B126,'Schema Import'!$A$2:$C$183,3,FALSE)</f>
        <v>0.0.2</v>
      </c>
      <c r="G126" s="2" t="s">
        <v>704</v>
      </c>
      <c r="H126" s="2" t="s">
        <v>951</v>
      </c>
      <c r="I126" s="5">
        <v>1</v>
      </c>
      <c r="J126" s="5">
        <f>COUNTIF(Table1[[#This Row],[Management Zone]:[AWS Credentials]],"*")</f>
        <v>0</v>
      </c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3"/>
      <c r="AA126"/>
      <c r="AC126"/>
      <c r="AE126"/>
      <c r="AG126"/>
      <c r="AJ126"/>
      <c r="AK126"/>
    </row>
    <row r="127" spans="1:37" x14ac:dyDescent="0.2">
      <c r="A127" s="2" t="s">
        <v>339</v>
      </c>
      <c r="B127" s="3" t="s">
        <v>541</v>
      </c>
      <c r="C127" s="2" t="s">
        <v>125</v>
      </c>
      <c r="D127" s="9" t="s">
        <v>963</v>
      </c>
      <c r="E127" s="2" t="s">
        <v>493</v>
      </c>
      <c r="F127" s="2" t="str">
        <f>VLOOKUP($B127,'Schema Import'!$A$2:$C$183,3,FALSE)</f>
        <v>0.0.3</v>
      </c>
      <c r="G127" s="2" t="s">
        <v>704</v>
      </c>
      <c r="H127" s="2" t="s">
        <v>951</v>
      </c>
      <c r="I127" s="5">
        <v>1</v>
      </c>
      <c r="J127" s="5">
        <f>COUNTIF(Table1[[#This Row],[Management Zone]:[AWS Credentials]],"*")</f>
        <v>0</v>
      </c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3"/>
      <c r="AA127"/>
      <c r="AC127"/>
      <c r="AE127"/>
      <c r="AG127"/>
      <c r="AJ127"/>
      <c r="AK127"/>
    </row>
    <row r="128" spans="1:37" x14ac:dyDescent="0.2">
      <c r="A128" s="2" t="s">
        <v>340</v>
      </c>
      <c r="B128" s="3" t="s">
        <v>542</v>
      </c>
      <c r="C128" s="2" t="s">
        <v>126</v>
      </c>
      <c r="D128" s="9" t="s">
        <v>963</v>
      </c>
      <c r="E128" s="2" t="s">
        <v>468</v>
      </c>
      <c r="F128" s="2" t="str">
        <f>VLOOKUP($B128,'Schema Import'!$A$2:$C$183,3,FALSE)</f>
        <v>0.0.2</v>
      </c>
      <c r="G128" s="2" t="s">
        <v>704</v>
      </c>
      <c r="H128" s="2" t="s">
        <v>951</v>
      </c>
      <c r="I128" s="5">
        <v>1</v>
      </c>
      <c r="J128" s="5">
        <f>COUNTIF(Table1[[#This Row],[Management Zone]:[AWS Credentials]],"*")</f>
        <v>0</v>
      </c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3"/>
      <c r="AA128"/>
      <c r="AC128"/>
      <c r="AE128"/>
      <c r="AG128"/>
      <c r="AJ128"/>
      <c r="AK128"/>
    </row>
    <row r="129" spans="1:37" x14ac:dyDescent="0.2">
      <c r="A129" s="2" t="s">
        <v>341</v>
      </c>
      <c r="B129" s="3" t="s">
        <v>543</v>
      </c>
      <c r="C129" s="2" t="s">
        <v>127</v>
      </c>
      <c r="D129" s="2" t="s">
        <v>963</v>
      </c>
      <c r="E129" s="2" t="s">
        <v>470</v>
      </c>
      <c r="F129" s="2" t="str">
        <f>VLOOKUP($B129,'Schema Import'!$A$2:$C$183,3,FALSE)</f>
        <v>0.0.1</v>
      </c>
      <c r="G129" s="2" t="s">
        <v>704</v>
      </c>
      <c r="H129" s="2" t="s">
        <v>951</v>
      </c>
      <c r="I129" s="5">
        <v>1</v>
      </c>
      <c r="J129" s="5">
        <f>COUNTIF(Table1[[#This Row],[Management Zone]:[AWS Credentials]],"*")</f>
        <v>0</v>
      </c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3"/>
      <c r="AA129"/>
      <c r="AC129"/>
      <c r="AE129"/>
      <c r="AG129"/>
      <c r="AJ129"/>
      <c r="AK129"/>
    </row>
    <row r="130" spans="1:37" x14ac:dyDescent="0.2">
      <c r="A130" s="2" t="s">
        <v>302</v>
      </c>
      <c r="B130" s="3" t="s">
        <v>610</v>
      </c>
      <c r="C130" s="2" t="s">
        <v>88</v>
      </c>
      <c r="D130" s="9" t="s">
        <v>963</v>
      </c>
      <c r="E130" s="2" t="s">
        <v>585</v>
      </c>
      <c r="F130" s="2" t="str">
        <f>VLOOKUP($B130,'Schema Import'!$A$2:$C$183,3,FALSE)</f>
        <v>0.0.4</v>
      </c>
      <c r="G130" s="2" t="s">
        <v>704</v>
      </c>
      <c r="H130" s="2" t="s">
        <v>951</v>
      </c>
      <c r="I130" s="5">
        <v>1</v>
      </c>
      <c r="J130" s="5">
        <f>COUNTIF(Table1[[#This Row],[Management Zone]:[AWS Credentials]],"*")</f>
        <v>0</v>
      </c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3"/>
      <c r="AA130"/>
      <c r="AC130"/>
      <c r="AE130"/>
      <c r="AG130"/>
      <c r="AJ130"/>
      <c r="AK130"/>
    </row>
    <row r="131" spans="1:37" x14ac:dyDescent="0.2">
      <c r="A131" s="2" t="s">
        <v>361</v>
      </c>
      <c r="B131" s="3" t="s">
        <v>550</v>
      </c>
      <c r="C131" s="2" t="s">
        <v>146</v>
      </c>
      <c r="D131" s="9" t="s">
        <v>963</v>
      </c>
      <c r="E131" s="2" t="s">
        <v>438</v>
      </c>
      <c r="F131" s="2" t="str">
        <f>VLOOKUP($B131,'Schema Import'!$A$2:$C$183,3,FALSE)</f>
        <v>1.0.1</v>
      </c>
      <c r="G131" s="2" t="s">
        <v>704</v>
      </c>
      <c r="H131" s="2" t="s">
        <v>951</v>
      </c>
      <c r="I131" s="5">
        <v>1</v>
      </c>
      <c r="J131" s="5">
        <f>COUNTIF(Table1[[#This Row],[Management Zone]:[AWS Credentials]],"*")</f>
        <v>0</v>
      </c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3"/>
      <c r="AA131"/>
      <c r="AC131"/>
      <c r="AE131"/>
      <c r="AG131"/>
      <c r="AJ131"/>
      <c r="AK131"/>
    </row>
    <row r="132" spans="1:37" x14ac:dyDescent="0.2">
      <c r="A132" s="2" t="s">
        <v>403</v>
      </c>
      <c r="B132" s="3" t="s">
        <v>497</v>
      </c>
      <c r="C132" s="2" t="s">
        <v>188</v>
      </c>
      <c r="D132" s="9" t="s">
        <v>963</v>
      </c>
      <c r="E132" s="2" t="s">
        <v>438</v>
      </c>
      <c r="F132" s="2" t="str">
        <f>VLOOKUP($B132,'Schema Import'!$A$2:$C$183,3,FALSE)</f>
        <v>1.0.1</v>
      </c>
      <c r="G132" s="2" t="s">
        <v>704</v>
      </c>
      <c r="H132" s="2" t="s">
        <v>951</v>
      </c>
      <c r="I132" s="5">
        <v>1</v>
      </c>
      <c r="J132" s="5">
        <f>COUNTIF(Table1[[#This Row],[Management Zone]:[AWS Credentials]],"*")</f>
        <v>0</v>
      </c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3"/>
      <c r="AA132"/>
      <c r="AC132"/>
      <c r="AE132"/>
      <c r="AG132"/>
      <c r="AJ132"/>
      <c r="AK132"/>
    </row>
    <row r="133" spans="1:37" x14ac:dyDescent="0.2">
      <c r="A133" s="2" t="s">
        <v>255</v>
      </c>
      <c r="B133" s="3" t="s">
        <v>684</v>
      </c>
      <c r="C133" s="2" t="s">
        <v>53</v>
      </c>
      <c r="D133" s="9" t="s">
        <v>963</v>
      </c>
      <c r="E133" s="2" t="s">
        <v>436</v>
      </c>
      <c r="F133" s="2" t="str">
        <f>VLOOKUP($B133,'Schema Import'!$A$2:$C$183,3,FALSE)</f>
        <v>1.0.2</v>
      </c>
      <c r="G133" s="2" t="s">
        <v>704</v>
      </c>
      <c r="H133" s="2" t="s">
        <v>951</v>
      </c>
      <c r="I133" s="5">
        <v>1</v>
      </c>
      <c r="J133" s="5">
        <f>COUNTIF(Table1[[#This Row],[Management Zone]:[AWS Credentials]],"*")</f>
        <v>0</v>
      </c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2" t="s">
        <v>973</v>
      </c>
      <c r="AA133"/>
      <c r="AC133"/>
      <c r="AE133"/>
      <c r="AG133"/>
      <c r="AJ133"/>
      <c r="AK133"/>
    </row>
    <row r="134" spans="1:37" x14ac:dyDescent="0.2">
      <c r="A134" s="2" t="s">
        <v>267</v>
      </c>
      <c r="B134" s="3" t="s">
        <v>657</v>
      </c>
      <c r="C134" s="2" t="s">
        <v>41</v>
      </c>
      <c r="D134" s="2" t="s">
        <v>963</v>
      </c>
      <c r="E134" s="2" t="s">
        <v>708</v>
      </c>
      <c r="F134" s="2" t="e">
        <f>VLOOKUP($B134,'Schema Import'!$A$2:$C$183,3,FALSE)</f>
        <v>#N/A</v>
      </c>
      <c r="G134" s="3" t="s">
        <v>707</v>
      </c>
      <c r="H134" s="2" t="s">
        <v>952</v>
      </c>
      <c r="I134" s="5">
        <v>1</v>
      </c>
      <c r="J134" s="6">
        <f>COUNTIF(Table1[[#This Row],[Management Zone]:[AWS Credentials]],"*")</f>
        <v>0</v>
      </c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3"/>
      <c r="AA134"/>
      <c r="AC134"/>
      <c r="AE134"/>
      <c r="AG134"/>
      <c r="AJ134"/>
      <c r="AK134"/>
    </row>
    <row r="135" spans="1:37" x14ac:dyDescent="0.2">
      <c r="A135" s="2" t="s">
        <v>276</v>
      </c>
      <c r="B135" s="3" t="s">
        <v>658</v>
      </c>
      <c r="C135" s="2" t="s">
        <v>62</v>
      </c>
      <c r="D135" s="2" t="s">
        <v>971</v>
      </c>
      <c r="E135" s="2" t="s">
        <v>708</v>
      </c>
      <c r="F135" s="2" t="e">
        <f>VLOOKUP($B135,'Schema Import'!$A$2:$C$183,3,FALSE)</f>
        <v>#N/A</v>
      </c>
      <c r="G135" s="3" t="s">
        <v>705</v>
      </c>
      <c r="H135" s="2" t="s">
        <v>956</v>
      </c>
      <c r="I135" s="2" t="s">
        <v>708</v>
      </c>
      <c r="J135" s="3">
        <f>COUNTIF(Table1[[#This Row],[Management Zone]:[AWS Credentials]],"*")</f>
        <v>1</v>
      </c>
      <c r="K135" s="6"/>
      <c r="L135" s="6" t="s">
        <v>709</v>
      </c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3" t="s">
        <v>997</v>
      </c>
      <c r="AA135"/>
      <c r="AC135"/>
      <c r="AE135"/>
      <c r="AG135"/>
      <c r="AJ135"/>
      <c r="AK135"/>
    </row>
    <row r="136" spans="1:37" x14ac:dyDescent="0.2">
      <c r="A136" s="2" t="s">
        <v>412</v>
      </c>
      <c r="B136" s="3" t="s">
        <v>486</v>
      </c>
      <c r="C136" s="2" t="s">
        <v>197</v>
      </c>
      <c r="D136" s="9" t="s">
        <v>963</v>
      </c>
      <c r="E136" s="3" t="s">
        <v>436</v>
      </c>
      <c r="F136" s="2" t="str">
        <f>VLOOKUP($B136,'Schema Import'!$A$2:$C$183,3,FALSE)</f>
        <v>1.0.2</v>
      </c>
      <c r="G136" s="2" t="s">
        <v>704</v>
      </c>
      <c r="H136" s="2" t="s">
        <v>951</v>
      </c>
      <c r="I136" s="5">
        <v>1</v>
      </c>
      <c r="J136" s="5">
        <f>COUNTIF(Table1[[#This Row],[Management Zone]:[AWS Credentials]],"*")</f>
        <v>0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3"/>
      <c r="AA136"/>
      <c r="AC136"/>
      <c r="AE136"/>
      <c r="AG136"/>
      <c r="AJ136"/>
      <c r="AK136"/>
    </row>
    <row r="137" spans="1:37" x14ac:dyDescent="0.2">
      <c r="A137" s="2" t="s">
        <v>347</v>
      </c>
      <c r="B137" s="3" t="s">
        <v>551</v>
      </c>
      <c r="C137" s="2" t="s">
        <v>133</v>
      </c>
      <c r="D137" s="9" t="s">
        <v>963</v>
      </c>
      <c r="E137" s="2" t="s">
        <v>552</v>
      </c>
      <c r="F137" s="2" t="str">
        <f>VLOOKUP($B137,'Schema Import'!$A$2:$C$183,3,FALSE)</f>
        <v>1.5.7</v>
      </c>
      <c r="G137" s="2" t="s">
        <v>704</v>
      </c>
      <c r="H137" s="2" t="s">
        <v>951</v>
      </c>
      <c r="I137" s="5">
        <v>1</v>
      </c>
      <c r="J137" s="5">
        <f>COUNTIF(Table1[[#This Row],[Management Zone]:[AWS Credentials]],"*")</f>
        <v>0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3"/>
      <c r="AA137"/>
      <c r="AC137"/>
      <c r="AE137"/>
      <c r="AG137"/>
      <c r="AJ137"/>
      <c r="AK137"/>
    </row>
    <row r="138" spans="1:37" x14ac:dyDescent="0.2">
      <c r="A138" s="2" t="s">
        <v>413</v>
      </c>
      <c r="B138" s="3" t="s">
        <v>487</v>
      </c>
      <c r="C138" s="2" t="s">
        <v>198</v>
      </c>
      <c r="D138" s="9" t="s">
        <v>963</v>
      </c>
      <c r="E138" s="2" t="s">
        <v>436</v>
      </c>
      <c r="F138" s="2" t="str">
        <f>VLOOKUP($B138,'Schema Import'!$A$2:$C$183,3,FALSE)</f>
        <v>1.0.2</v>
      </c>
      <c r="G138" s="2" t="s">
        <v>704</v>
      </c>
      <c r="H138" s="2" t="s">
        <v>951</v>
      </c>
      <c r="I138" s="5">
        <v>2</v>
      </c>
      <c r="J138" s="5">
        <f>COUNTIF(Table1[[#This Row],[Management Zone]:[AWS Credentials]],"*")</f>
        <v>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 t="s">
        <v>709</v>
      </c>
      <c r="W138" s="5"/>
      <c r="X138" s="5"/>
      <c r="Y138" s="5"/>
      <c r="Z138" s="3"/>
      <c r="AA138"/>
      <c r="AC138"/>
      <c r="AE138"/>
      <c r="AG138"/>
      <c r="AJ138"/>
      <c r="AK138"/>
    </row>
    <row r="139" spans="1:37" x14ac:dyDescent="0.2">
      <c r="A139" s="2" t="s">
        <v>410</v>
      </c>
      <c r="B139" s="3" t="s">
        <v>553</v>
      </c>
      <c r="C139" s="2" t="s">
        <v>195</v>
      </c>
      <c r="D139" s="9" t="s">
        <v>963</v>
      </c>
      <c r="E139" s="2">
        <v>1.1000000000000001</v>
      </c>
      <c r="F139" s="2" t="str">
        <f>VLOOKUP($B139,'Schema Import'!$A$2:$C$183,3,FALSE)</f>
        <v>1.1</v>
      </c>
      <c r="G139" s="2" t="s">
        <v>704</v>
      </c>
      <c r="H139" s="2" t="s">
        <v>951</v>
      </c>
      <c r="I139" s="5">
        <v>1</v>
      </c>
      <c r="J139" s="5">
        <f>COUNTIF(Table1[[#This Row],[Management Zone]:[AWS Credentials]],"*")</f>
        <v>0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3"/>
      <c r="AA139"/>
      <c r="AC139"/>
      <c r="AE139"/>
      <c r="AG139"/>
      <c r="AJ139"/>
      <c r="AK139"/>
    </row>
    <row r="140" spans="1:37" x14ac:dyDescent="0.2">
      <c r="A140" s="2" t="s">
        <v>239</v>
      </c>
      <c r="B140" s="3" t="s">
        <v>685</v>
      </c>
      <c r="C140" s="2" t="s">
        <v>25</v>
      </c>
      <c r="D140" s="2" t="s">
        <v>963</v>
      </c>
      <c r="E140" s="2" t="s">
        <v>686</v>
      </c>
      <c r="F140" s="2" t="str">
        <f>VLOOKUP($B140,'Schema Import'!$A$2:$C$183,3,FALSE)</f>
        <v>1.4.8</v>
      </c>
      <c r="G140" s="2" t="s">
        <v>704</v>
      </c>
      <c r="H140" s="2" t="s">
        <v>951</v>
      </c>
      <c r="I140" s="5">
        <v>3</v>
      </c>
      <c r="J140" s="5">
        <f>COUNTIF(Table1[[#This Row],[Management Zone]:[AWS Credentials]],"*")</f>
        <v>1</v>
      </c>
      <c r="K140" s="5"/>
      <c r="L140" s="5" t="s">
        <v>709</v>
      </c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2" t="s">
        <v>1002</v>
      </c>
      <c r="AA140"/>
      <c r="AC140"/>
      <c r="AE140"/>
      <c r="AG140"/>
      <c r="AJ140"/>
      <c r="AK140"/>
    </row>
    <row r="141" spans="1:37" x14ac:dyDescent="0.2">
      <c r="A141" s="2" t="s">
        <v>359</v>
      </c>
      <c r="B141" s="3" t="s">
        <v>554</v>
      </c>
      <c r="C141" s="2" t="s">
        <v>144</v>
      </c>
      <c r="D141" s="9" t="s">
        <v>963</v>
      </c>
      <c r="E141" s="2" t="s">
        <v>555</v>
      </c>
      <c r="F141" s="2" t="str">
        <f>VLOOKUP($B141,'Schema Import'!$A$2:$C$183,3,FALSE)</f>
        <v>1.1.4</v>
      </c>
      <c r="G141" s="2" t="s">
        <v>704</v>
      </c>
      <c r="H141" s="2" t="s">
        <v>951</v>
      </c>
      <c r="I141" s="5">
        <v>1</v>
      </c>
      <c r="J141" s="5">
        <f>COUNTIF(Table1[[#This Row],[Management Zone]:[AWS Credentials]],"*")</f>
        <v>0</v>
      </c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3"/>
      <c r="AA141"/>
      <c r="AC141"/>
      <c r="AE141"/>
      <c r="AG141"/>
      <c r="AJ141"/>
      <c r="AK141"/>
    </row>
    <row r="142" spans="1:37" x14ac:dyDescent="0.2">
      <c r="A142" s="2" t="s">
        <v>415</v>
      </c>
      <c r="B142" s="3" t="s">
        <v>556</v>
      </c>
      <c r="C142" s="2" t="s">
        <v>200</v>
      </c>
      <c r="D142" s="9" t="s">
        <v>963</v>
      </c>
      <c r="E142" s="2" t="s">
        <v>438</v>
      </c>
      <c r="F142" s="2" t="str">
        <f>VLOOKUP($B142,'Schema Import'!$A$2:$C$183,3,FALSE)</f>
        <v>1.0.1</v>
      </c>
      <c r="G142" s="2" t="s">
        <v>704</v>
      </c>
      <c r="H142" s="2" t="s">
        <v>951</v>
      </c>
      <c r="I142" s="5">
        <v>1</v>
      </c>
      <c r="J142" s="5">
        <f>COUNTIF(Table1[[#This Row],[Management Zone]:[AWS Credentials]],"*")</f>
        <v>0</v>
      </c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3"/>
      <c r="AA142"/>
      <c r="AC142"/>
      <c r="AE142"/>
      <c r="AG142"/>
      <c r="AJ142"/>
      <c r="AK142"/>
    </row>
    <row r="143" spans="1:37" x14ac:dyDescent="0.2">
      <c r="A143" s="2" t="s">
        <v>414</v>
      </c>
      <c r="B143" s="3" t="s">
        <v>557</v>
      </c>
      <c r="C143" s="2" t="s">
        <v>199</v>
      </c>
      <c r="D143" s="9" t="s">
        <v>963</v>
      </c>
      <c r="E143" s="2" t="s">
        <v>438</v>
      </c>
      <c r="F143" s="2" t="str">
        <f>VLOOKUP($B143,'Schema Import'!$A$2:$C$183,3,FALSE)</f>
        <v>1.0.4</v>
      </c>
      <c r="G143" s="2" t="s">
        <v>704</v>
      </c>
      <c r="H143" s="2" t="s">
        <v>951</v>
      </c>
      <c r="I143" s="5">
        <v>1</v>
      </c>
      <c r="J143" s="5">
        <f>COUNTIF(Table1[[#This Row],[Management Zone]:[AWS Credentials]],"*")</f>
        <v>0</v>
      </c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3"/>
      <c r="AA143"/>
      <c r="AC143"/>
      <c r="AE143"/>
      <c r="AG143"/>
      <c r="AJ143"/>
      <c r="AK143"/>
    </row>
    <row r="144" spans="1:37" x14ac:dyDescent="0.2">
      <c r="A144" s="2" t="s">
        <v>240</v>
      </c>
      <c r="B144" s="3" t="s">
        <v>685</v>
      </c>
      <c r="C144" s="2" t="s">
        <v>26</v>
      </c>
      <c r="D144" s="2" t="s">
        <v>963</v>
      </c>
      <c r="E144" s="2" t="s">
        <v>686</v>
      </c>
      <c r="F144" s="2" t="str">
        <f>VLOOKUP($B144,'Schema Import'!$A$2:$C$183,3,FALSE)</f>
        <v>1.4.8</v>
      </c>
      <c r="G144" s="2" t="s">
        <v>704</v>
      </c>
      <c r="H144" s="2" t="s">
        <v>951</v>
      </c>
      <c r="I144" s="5">
        <v>3</v>
      </c>
      <c r="J144" s="5">
        <f>COUNTIF(Table1[[#This Row],[Management Zone]:[AWS Credentials]],"*")</f>
        <v>1</v>
      </c>
      <c r="K144" s="5"/>
      <c r="L144" s="5" t="s">
        <v>709</v>
      </c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2" t="s">
        <v>1002</v>
      </c>
      <c r="AA144"/>
      <c r="AC144"/>
      <c r="AE144"/>
      <c r="AG144"/>
      <c r="AJ144"/>
      <c r="AK144"/>
    </row>
    <row r="145" spans="1:37" x14ac:dyDescent="0.2">
      <c r="A145" s="2" t="s">
        <v>287</v>
      </c>
      <c r="B145" s="3" t="s">
        <v>670</v>
      </c>
      <c r="C145" s="2" t="s">
        <v>73</v>
      </c>
      <c r="D145" s="9" t="s">
        <v>963</v>
      </c>
      <c r="E145" s="2">
        <v>1</v>
      </c>
      <c r="F145" s="2" t="str">
        <f>VLOOKUP($B145,'Schema Import'!$A$2:$C$183,3,FALSE)</f>
        <v>1</v>
      </c>
      <c r="G145" s="2" t="s">
        <v>704</v>
      </c>
      <c r="H145" s="2" t="s">
        <v>951</v>
      </c>
      <c r="I145" s="5">
        <v>1</v>
      </c>
      <c r="J145" s="5">
        <f>COUNTIF(Table1[[#This Row],[Management Zone]:[AWS Credentials]],"*")</f>
        <v>0</v>
      </c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3" t="s">
        <v>1023</v>
      </c>
      <c r="AA145"/>
      <c r="AC145"/>
      <c r="AE145"/>
      <c r="AG145"/>
      <c r="AJ145"/>
      <c r="AK145"/>
    </row>
    <row r="146" spans="1:37" x14ac:dyDescent="0.2">
      <c r="A146" s="2" t="s">
        <v>285</v>
      </c>
      <c r="B146" s="3" t="s">
        <v>634</v>
      </c>
      <c r="C146" s="2" t="s">
        <v>71</v>
      </c>
      <c r="D146" s="9" t="s">
        <v>972</v>
      </c>
      <c r="E146" s="2" t="s">
        <v>708</v>
      </c>
      <c r="F146" s="2" t="e">
        <f>VLOOKUP($B146,'Schema Import'!$A$2:$C$183,3,FALSE)</f>
        <v>#N/A</v>
      </c>
      <c r="G146" s="3" t="s">
        <v>705</v>
      </c>
      <c r="H146" s="2" t="s">
        <v>956</v>
      </c>
      <c r="I146" s="5">
        <v>1</v>
      </c>
      <c r="J146" s="6">
        <f>COUNTIF(Table1[[#This Row],[Management Zone]:[AWS Credentials]],"*")</f>
        <v>0</v>
      </c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3" t="s">
        <v>1022</v>
      </c>
      <c r="AA146"/>
      <c r="AC146"/>
      <c r="AE146"/>
      <c r="AG146"/>
      <c r="AJ146"/>
      <c r="AK146"/>
    </row>
    <row r="147" spans="1:37" x14ac:dyDescent="0.2">
      <c r="A147" s="2" t="s">
        <v>297</v>
      </c>
      <c r="B147" s="3" t="s">
        <v>563</v>
      </c>
      <c r="C147" s="2" t="s">
        <v>83</v>
      </c>
      <c r="D147" s="9" t="s">
        <v>963</v>
      </c>
      <c r="E147" s="2" t="s">
        <v>438</v>
      </c>
      <c r="F147" s="2" t="str">
        <f>VLOOKUP($B147,'Schema Import'!$A$2:$C$183,3,FALSE)</f>
        <v>1.0.1</v>
      </c>
      <c r="G147" s="2" t="s">
        <v>704</v>
      </c>
      <c r="H147" s="2" t="s">
        <v>951</v>
      </c>
      <c r="I147" s="5">
        <v>1</v>
      </c>
      <c r="J147" s="5">
        <f>COUNTIF(Table1[[#This Row],[Management Zone]:[AWS Credentials]],"*")</f>
        <v>0</v>
      </c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3"/>
      <c r="AA147"/>
      <c r="AC147"/>
      <c r="AE147"/>
      <c r="AG147"/>
      <c r="AJ147"/>
      <c r="AK147"/>
    </row>
    <row r="148" spans="1:37" x14ac:dyDescent="0.2">
      <c r="A148" s="2" t="s">
        <v>298</v>
      </c>
      <c r="B148" s="3" t="s">
        <v>564</v>
      </c>
      <c r="C148" s="2" t="s">
        <v>84</v>
      </c>
      <c r="D148" s="9" t="s">
        <v>963</v>
      </c>
      <c r="E148" s="3" t="s">
        <v>565</v>
      </c>
      <c r="F148" s="2" t="str">
        <f>VLOOKUP($B148,'Schema Import'!$A$2:$C$183,3,FALSE)</f>
        <v>0.0.5</v>
      </c>
      <c r="G148" s="2" t="s">
        <v>704</v>
      </c>
      <c r="H148" s="2" t="s">
        <v>951</v>
      </c>
      <c r="I148" s="5">
        <v>1</v>
      </c>
      <c r="J148" s="5">
        <f>COUNTIF(Table1[[#This Row],[Management Zone]:[AWS Credentials]],"*")</f>
        <v>0</v>
      </c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3"/>
      <c r="AA148"/>
      <c r="AC148"/>
      <c r="AE148"/>
      <c r="AG148"/>
      <c r="AJ148"/>
      <c r="AK148"/>
    </row>
    <row r="149" spans="1:37" x14ac:dyDescent="0.2">
      <c r="A149" s="2" t="s">
        <v>316</v>
      </c>
      <c r="B149" s="3" t="s">
        <v>567</v>
      </c>
      <c r="C149" s="2" t="s">
        <v>102</v>
      </c>
      <c r="D149" s="9" t="s">
        <v>963</v>
      </c>
      <c r="E149" s="2" t="s">
        <v>489</v>
      </c>
      <c r="F149" s="2" t="str">
        <f>VLOOKUP($B149,'Schema Import'!$A$2:$C$183,3,FALSE)</f>
        <v>0.0.8</v>
      </c>
      <c r="G149" s="2" t="s">
        <v>704</v>
      </c>
      <c r="H149" s="2" t="s">
        <v>951</v>
      </c>
      <c r="I149" s="5">
        <v>1</v>
      </c>
      <c r="J149" s="5">
        <f>COUNTIF(Table1[[#This Row],[Management Zone]:[AWS Credentials]],"*")</f>
        <v>0</v>
      </c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3"/>
      <c r="AA149"/>
      <c r="AC149"/>
      <c r="AE149"/>
      <c r="AG149"/>
      <c r="AJ149"/>
      <c r="AK149"/>
    </row>
    <row r="150" spans="1:37" x14ac:dyDescent="0.2">
      <c r="A150" s="2" t="s">
        <v>317</v>
      </c>
      <c r="B150" s="3" t="s">
        <v>568</v>
      </c>
      <c r="C150" s="2" t="s">
        <v>103</v>
      </c>
      <c r="D150" s="9" t="s">
        <v>963</v>
      </c>
      <c r="E150" s="2">
        <v>0.4</v>
      </c>
      <c r="F150" s="2" t="str">
        <f>VLOOKUP($B150,'Schema Import'!$A$2:$C$183,3,FALSE)</f>
        <v>0.4</v>
      </c>
      <c r="G150" s="2" t="s">
        <v>704</v>
      </c>
      <c r="H150" s="2" t="s">
        <v>951</v>
      </c>
      <c r="I150" s="5">
        <v>1</v>
      </c>
      <c r="J150" s="5">
        <f>COUNTIF(Table1[[#This Row],[Management Zone]:[AWS Credentials]],"*")</f>
        <v>0</v>
      </c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3"/>
      <c r="AA150"/>
      <c r="AC150"/>
      <c r="AE150"/>
      <c r="AG150"/>
      <c r="AJ150"/>
      <c r="AK150"/>
    </row>
    <row r="151" spans="1:37" x14ac:dyDescent="0.2">
      <c r="A151" s="2" t="s">
        <v>311</v>
      </c>
      <c r="B151" s="3" t="s">
        <v>581</v>
      </c>
      <c r="C151" s="2" t="s">
        <v>97</v>
      </c>
      <c r="D151" s="9" t="s">
        <v>963</v>
      </c>
      <c r="E151" s="2" t="s">
        <v>582</v>
      </c>
      <c r="F151" s="2" t="str">
        <f>VLOOKUP($B151,'Schema Import'!$A$2:$C$183,3,FALSE)</f>
        <v>2.0.1</v>
      </c>
      <c r="G151" s="2" t="s">
        <v>704</v>
      </c>
      <c r="H151" s="2" t="s">
        <v>951</v>
      </c>
      <c r="I151" s="5">
        <v>1</v>
      </c>
      <c r="J151" s="5">
        <f>COUNTIF(Table1[[#This Row],[Management Zone]:[AWS Credentials]],"*")</f>
        <v>0</v>
      </c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3"/>
      <c r="AA151"/>
      <c r="AC151"/>
      <c r="AE151"/>
      <c r="AG151"/>
      <c r="AJ151"/>
      <c r="AK151"/>
    </row>
    <row r="152" spans="1:37" x14ac:dyDescent="0.2">
      <c r="A152" s="2" t="s">
        <v>318</v>
      </c>
      <c r="B152" s="3" t="s">
        <v>569</v>
      </c>
      <c r="C152" s="2" t="s">
        <v>104</v>
      </c>
      <c r="D152" s="9" t="s">
        <v>963</v>
      </c>
      <c r="E152" s="2" t="s">
        <v>465</v>
      </c>
      <c r="F152" s="2" t="str">
        <f>VLOOKUP($B152,'Schema Import'!$A$2:$C$183,3,FALSE)</f>
        <v>1.0.4</v>
      </c>
      <c r="G152" s="2" t="s">
        <v>704</v>
      </c>
      <c r="H152" s="2" t="s">
        <v>951</v>
      </c>
      <c r="I152" s="5">
        <v>1</v>
      </c>
      <c r="J152" s="5">
        <f>COUNTIF(Table1[[#This Row],[Management Zone]:[AWS Credentials]],"*")</f>
        <v>0</v>
      </c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3"/>
      <c r="AA152"/>
      <c r="AC152"/>
      <c r="AE152"/>
      <c r="AG152"/>
      <c r="AJ152"/>
      <c r="AK152"/>
    </row>
    <row r="153" spans="1:37" x14ac:dyDescent="0.2">
      <c r="A153" s="2" t="s">
        <v>296</v>
      </c>
      <c r="B153" s="3" t="s">
        <v>560</v>
      </c>
      <c r="C153" s="2" t="s">
        <v>82</v>
      </c>
      <c r="D153" s="9" t="s">
        <v>963</v>
      </c>
      <c r="E153" s="2">
        <v>0.2</v>
      </c>
      <c r="F153" s="2" t="str">
        <f>VLOOKUP($B153,'Schema Import'!$A$2:$C$183,3,FALSE)</f>
        <v>0.2</v>
      </c>
      <c r="G153" s="2" t="s">
        <v>704</v>
      </c>
      <c r="H153" s="2" t="s">
        <v>951</v>
      </c>
      <c r="I153" s="5">
        <v>1</v>
      </c>
      <c r="J153" s="5">
        <f>COUNTIF(Table1[[#This Row],[Management Zone]:[AWS Credentials]],"*")</f>
        <v>0</v>
      </c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3"/>
      <c r="AA153"/>
      <c r="AC153"/>
      <c r="AE153"/>
      <c r="AG153"/>
      <c r="AJ153"/>
      <c r="AK153"/>
    </row>
    <row r="154" spans="1:37" x14ac:dyDescent="0.2">
      <c r="A154" s="2" t="s">
        <v>290</v>
      </c>
      <c r="B154" s="3" t="s">
        <v>561</v>
      </c>
      <c r="C154" s="2" t="s">
        <v>76</v>
      </c>
      <c r="D154" s="9" t="s">
        <v>963</v>
      </c>
      <c r="E154" s="2" t="s">
        <v>562</v>
      </c>
      <c r="F154" s="2" t="str">
        <f>VLOOKUP($B154,'Schema Import'!$A$2:$C$183,3,FALSE)</f>
        <v>0.4.4</v>
      </c>
      <c r="G154" s="2" t="s">
        <v>704</v>
      </c>
      <c r="H154" s="2" t="s">
        <v>951</v>
      </c>
      <c r="I154" s="5">
        <v>1</v>
      </c>
      <c r="J154" s="5">
        <f>COUNTIF(Table1[[#This Row],[Management Zone]:[AWS Credentials]],"*")</f>
        <v>0</v>
      </c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3"/>
      <c r="AA154"/>
      <c r="AC154"/>
      <c r="AE154"/>
      <c r="AG154"/>
      <c r="AJ154"/>
      <c r="AK154"/>
    </row>
    <row r="155" spans="1:37" x14ac:dyDescent="0.2">
      <c r="A155" s="2" t="s">
        <v>342</v>
      </c>
      <c r="B155" s="3" t="s">
        <v>570</v>
      </c>
      <c r="C155" s="2" t="s">
        <v>128</v>
      </c>
      <c r="D155" s="9" t="s">
        <v>963</v>
      </c>
      <c r="E155" s="2">
        <v>1</v>
      </c>
      <c r="F155" s="2" t="str">
        <f>VLOOKUP($B155,'Schema Import'!$A$2:$C$183,3,FALSE)</f>
        <v>1</v>
      </c>
      <c r="G155" s="2" t="s">
        <v>704</v>
      </c>
      <c r="H155" s="2" t="s">
        <v>951</v>
      </c>
      <c r="I155" s="5">
        <v>1</v>
      </c>
      <c r="J155" s="5">
        <f>COUNTIF(Table1[[#This Row],[Management Zone]:[AWS Credentials]],"*")</f>
        <v>0</v>
      </c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3"/>
      <c r="AA155"/>
      <c r="AC155"/>
      <c r="AE155"/>
      <c r="AG155"/>
      <c r="AJ155"/>
      <c r="AK155"/>
    </row>
    <row r="156" spans="1:37" x14ac:dyDescent="0.2">
      <c r="A156" s="2" t="s">
        <v>265</v>
      </c>
      <c r="B156" s="3" t="s">
        <v>655</v>
      </c>
      <c r="C156" s="2" t="s">
        <v>51</v>
      </c>
      <c r="D156" s="9" t="s">
        <v>963</v>
      </c>
      <c r="E156" s="2" t="s">
        <v>708</v>
      </c>
      <c r="F156" s="2" t="e">
        <f>VLOOKUP($B156,'Schema Import'!$A$2:$C$183,3,FALSE)</f>
        <v>#N/A</v>
      </c>
      <c r="G156" s="3" t="s">
        <v>705</v>
      </c>
      <c r="H156" s="2" t="s">
        <v>956</v>
      </c>
      <c r="I156" s="5">
        <v>1</v>
      </c>
      <c r="J156" s="6">
        <f>COUNTIF(Table1[[#This Row],[Management Zone]:[AWS Credentials]],"*")</f>
        <v>0</v>
      </c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3"/>
      <c r="AA156"/>
      <c r="AC156"/>
      <c r="AE156"/>
      <c r="AG156"/>
      <c r="AJ156"/>
      <c r="AK156"/>
    </row>
    <row r="157" spans="1:37" x14ac:dyDescent="0.2">
      <c r="A157" s="2" t="s">
        <v>251</v>
      </c>
      <c r="B157" s="3" t="s">
        <v>677</v>
      </c>
      <c r="C157" s="2" t="s">
        <v>37</v>
      </c>
      <c r="D157" s="9" t="s">
        <v>963</v>
      </c>
      <c r="E157" s="2">
        <v>1</v>
      </c>
      <c r="F157" s="2" t="str">
        <f>VLOOKUP($B157,'Schema Import'!$A$2:$C$183,3,FALSE)</f>
        <v>1</v>
      </c>
      <c r="G157" s="2" t="s">
        <v>704</v>
      </c>
      <c r="H157" s="2" t="s">
        <v>951</v>
      </c>
      <c r="I157" s="5">
        <v>1</v>
      </c>
      <c r="J157" s="5">
        <f>COUNTIF(Table1[[#This Row],[Management Zone]:[AWS Credentials]],"*")</f>
        <v>0</v>
      </c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2" t="s">
        <v>674</v>
      </c>
      <c r="AA157"/>
      <c r="AC157"/>
      <c r="AE157"/>
      <c r="AG157"/>
      <c r="AJ157"/>
      <c r="AK157"/>
    </row>
    <row r="158" spans="1:37" x14ac:dyDescent="0.2">
      <c r="A158" s="2" t="s">
        <v>277</v>
      </c>
      <c r="B158" s="3" t="s">
        <v>678</v>
      </c>
      <c r="C158" s="2" t="s">
        <v>63</v>
      </c>
      <c r="D158" s="9" t="s">
        <v>963</v>
      </c>
      <c r="E158" s="2" t="s">
        <v>565</v>
      </c>
      <c r="F158" s="2" t="str">
        <f>VLOOKUP($B158,'Schema Import'!$A$2:$C$183,3,FALSE)</f>
        <v>0.0.6</v>
      </c>
      <c r="G158" s="2" t="s">
        <v>704</v>
      </c>
      <c r="H158" s="2" t="s">
        <v>951</v>
      </c>
      <c r="I158" s="5">
        <v>1</v>
      </c>
      <c r="J158" s="5">
        <f>COUNTIF(Table1[[#This Row],[Management Zone]:[AWS Credentials]],"*")</f>
        <v>0</v>
      </c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2" t="s">
        <v>674</v>
      </c>
      <c r="AA158"/>
      <c r="AC158"/>
      <c r="AE158"/>
      <c r="AG158"/>
      <c r="AJ158"/>
      <c r="AK158"/>
    </row>
    <row r="159" spans="1:37" x14ac:dyDescent="0.2">
      <c r="A159" s="2" t="s">
        <v>374</v>
      </c>
      <c r="B159" s="3" t="s">
        <v>571</v>
      </c>
      <c r="C159" s="2" t="s">
        <v>159</v>
      </c>
      <c r="D159" s="9" t="s">
        <v>963</v>
      </c>
      <c r="E159" s="2" t="s">
        <v>463</v>
      </c>
      <c r="F159" s="2" t="str">
        <f>VLOOKUP($B159,'Schema Import'!$A$2:$C$183,3,FALSE)</f>
        <v>1.0.6</v>
      </c>
      <c r="G159" s="2" t="s">
        <v>704</v>
      </c>
      <c r="H159" s="2" t="s">
        <v>951</v>
      </c>
      <c r="I159" s="5">
        <v>1</v>
      </c>
      <c r="J159" s="5">
        <f>COUNTIF(Table1[[#This Row],[Management Zone]:[AWS Credentials]],"*")</f>
        <v>0</v>
      </c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3"/>
      <c r="AA159"/>
      <c r="AC159"/>
      <c r="AE159"/>
      <c r="AG159"/>
      <c r="AJ159"/>
      <c r="AK159"/>
    </row>
    <row r="160" spans="1:37" x14ac:dyDescent="0.2">
      <c r="A160" s="2" t="s">
        <v>217</v>
      </c>
      <c r="B160" s="3" t="s">
        <v>659</v>
      </c>
      <c r="C160" s="2" t="s">
        <v>3</v>
      </c>
      <c r="D160" s="9" t="s">
        <v>963</v>
      </c>
      <c r="E160" s="2" t="s">
        <v>708</v>
      </c>
      <c r="F160" s="2" t="e">
        <f>VLOOKUP($B160,'Schema Import'!$A$2:$C$183,3,FALSE)</f>
        <v>#N/A</v>
      </c>
      <c r="G160" s="3" t="s">
        <v>705</v>
      </c>
      <c r="H160" s="2" t="s">
        <v>961</v>
      </c>
      <c r="I160" s="5">
        <v>1</v>
      </c>
      <c r="J160" s="6">
        <f>COUNTIF(Table1[[#This Row],[Management Zone]:[AWS Credentials]],"*")</f>
        <v>0</v>
      </c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3"/>
      <c r="AA160"/>
      <c r="AC160"/>
      <c r="AE160"/>
      <c r="AG160"/>
      <c r="AJ160"/>
      <c r="AK160"/>
    </row>
    <row r="161" spans="1:37" x14ac:dyDescent="0.2">
      <c r="A161" s="2" t="s">
        <v>268</v>
      </c>
      <c r="B161" s="3" t="s">
        <v>660</v>
      </c>
      <c r="C161" s="2" t="s">
        <v>54</v>
      </c>
      <c r="D161" s="9" t="s">
        <v>963</v>
      </c>
      <c r="E161" s="2" t="s">
        <v>708</v>
      </c>
      <c r="F161" s="2" t="e">
        <f>VLOOKUP($B161,'Schema Import'!$A$2:$C$183,3,FALSE)</f>
        <v>#N/A</v>
      </c>
      <c r="G161" s="3" t="s">
        <v>705</v>
      </c>
      <c r="H161" s="2" t="s">
        <v>956</v>
      </c>
      <c r="I161" s="5">
        <v>2</v>
      </c>
      <c r="J161" s="6">
        <f>COUNTIF(Table1[[#This Row],[Management Zone]:[AWS Credentials]],"*")</f>
        <v>1</v>
      </c>
      <c r="K161" s="6"/>
      <c r="L161" s="6"/>
      <c r="M161" s="6" t="s">
        <v>709</v>
      </c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3"/>
      <c r="AA161"/>
      <c r="AC161"/>
      <c r="AE161"/>
      <c r="AG161"/>
      <c r="AJ161"/>
      <c r="AK161"/>
    </row>
    <row r="162" spans="1:37" x14ac:dyDescent="0.2">
      <c r="A162" s="2" t="s">
        <v>279</v>
      </c>
      <c r="B162" s="3" t="s">
        <v>661</v>
      </c>
      <c r="C162" s="2" t="s">
        <v>65</v>
      </c>
      <c r="D162" s="9" t="s">
        <v>963</v>
      </c>
      <c r="E162" s="2" t="s">
        <v>708</v>
      </c>
      <c r="F162" s="2" t="e">
        <f>VLOOKUP($B162,'Schema Import'!$A$2:$C$183,3,FALSE)</f>
        <v>#N/A</v>
      </c>
      <c r="G162" s="3" t="s">
        <v>705</v>
      </c>
      <c r="H162" s="2" t="s">
        <v>956</v>
      </c>
      <c r="I162" s="5">
        <v>3</v>
      </c>
      <c r="J162" s="6">
        <f>COUNTIF(Table1[[#This Row],[Management Zone]:[AWS Credentials]],"*")</f>
        <v>1</v>
      </c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 t="s">
        <v>709</v>
      </c>
      <c r="X162" s="6"/>
      <c r="Y162" s="6"/>
      <c r="Z162" s="3"/>
      <c r="AA162"/>
      <c r="AC162"/>
      <c r="AE162"/>
      <c r="AG162"/>
      <c r="AJ162"/>
      <c r="AK162"/>
    </row>
    <row r="163" spans="1:37" x14ac:dyDescent="0.2">
      <c r="A163" s="2" t="s">
        <v>234</v>
      </c>
      <c r="B163" s="3" t="s">
        <v>695</v>
      </c>
      <c r="C163" s="2" t="s">
        <v>20</v>
      </c>
      <c r="D163" s="9" t="s">
        <v>963</v>
      </c>
      <c r="E163" s="2" t="s">
        <v>696</v>
      </c>
      <c r="F163" s="2" t="str">
        <f>VLOOKUP($B163,'Schema Import'!$A$2:$C$183,3,FALSE)</f>
        <v>1.0.25</v>
      </c>
      <c r="G163" s="2" t="s">
        <v>704</v>
      </c>
      <c r="H163" s="2" t="s">
        <v>951</v>
      </c>
      <c r="I163" s="5">
        <v>1</v>
      </c>
      <c r="J163" s="5">
        <f>COUNTIF(Table1[[#This Row],[Management Zone]:[AWS Credentials]],"*")</f>
        <v>0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2" t="s">
        <v>674</v>
      </c>
      <c r="AA163"/>
      <c r="AC163"/>
      <c r="AE163"/>
      <c r="AG163"/>
      <c r="AJ163"/>
      <c r="AK163"/>
    </row>
    <row r="164" spans="1:37" x14ac:dyDescent="0.2">
      <c r="A164" s="2" t="s">
        <v>349</v>
      </c>
      <c r="B164" s="3" t="s">
        <v>584</v>
      </c>
      <c r="C164" s="2" t="s">
        <v>135</v>
      </c>
      <c r="D164" s="9" t="s">
        <v>963</v>
      </c>
      <c r="E164" s="2" t="s">
        <v>585</v>
      </c>
      <c r="F164" s="2" t="str">
        <f>VLOOKUP($B164,'Schema Import'!$A$2:$C$183,3,FALSE)</f>
        <v>0.0.4</v>
      </c>
      <c r="G164" s="2" t="s">
        <v>704</v>
      </c>
      <c r="H164" s="2" t="s">
        <v>951</v>
      </c>
      <c r="I164" s="5">
        <v>1</v>
      </c>
      <c r="J164" s="5">
        <f>COUNTIF(Table1[[#This Row],[Management Zone]:[AWS Credentials]],"*")</f>
        <v>0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3"/>
      <c r="AA164"/>
      <c r="AC164"/>
      <c r="AE164"/>
      <c r="AG164"/>
      <c r="AJ164"/>
      <c r="AK164"/>
    </row>
    <row r="165" spans="1:37" x14ac:dyDescent="0.2">
      <c r="A165" s="2" t="s">
        <v>343</v>
      </c>
      <c r="B165" s="3" t="s">
        <v>574</v>
      </c>
      <c r="C165" s="2" t="s">
        <v>129</v>
      </c>
      <c r="D165" s="9" t="s">
        <v>963</v>
      </c>
      <c r="E165" s="2" t="s">
        <v>436</v>
      </c>
      <c r="F165" s="2" t="str">
        <f>VLOOKUP($B165,'Schema Import'!$A$2:$C$183,3,FALSE)</f>
        <v>1.0.2</v>
      </c>
      <c r="G165" s="2" t="s">
        <v>704</v>
      </c>
      <c r="H165" s="2" t="s">
        <v>951</v>
      </c>
      <c r="I165" s="5">
        <v>1</v>
      </c>
      <c r="J165" s="5">
        <f>COUNTIF(Table1[[#This Row],[Management Zone]:[AWS Credentials]],"*")</f>
        <v>0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3"/>
      <c r="AA165"/>
      <c r="AC165"/>
      <c r="AE165"/>
      <c r="AG165"/>
      <c r="AJ165"/>
      <c r="AK165"/>
    </row>
    <row r="166" spans="1:37" x14ac:dyDescent="0.2">
      <c r="A166" s="2" t="s">
        <v>344</v>
      </c>
      <c r="B166" s="3" t="s">
        <v>575</v>
      </c>
      <c r="C166" s="2" t="s">
        <v>130</v>
      </c>
      <c r="D166" s="9" t="s">
        <v>963</v>
      </c>
      <c r="E166" s="2" t="s">
        <v>438</v>
      </c>
      <c r="F166" s="2" t="str">
        <f>VLOOKUP($B166,'Schema Import'!$A$2:$C$183,3,FALSE)</f>
        <v>1.0.1</v>
      </c>
      <c r="G166" s="2" t="s">
        <v>704</v>
      </c>
      <c r="H166" s="2" t="s">
        <v>951</v>
      </c>
      <c r="I166" s="5">
        <v>1</v>
      </c>
      <c r="J166" s="5">
        <f>COUNTIF(Table1[[#This Row],[Management Zone]:[AWS Credentials]],"*")</f>
        <v>0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3"/>
      <c r="AA166"/>
      <c r="AC166"/>
      <c r="AE166"/>
      <c r="AG166"/>
      <c r="AJ166"/>
      <c r="AK166"/>
    </row>
    <row r="167" spans="1:37" x14ac:dyDescent="0.2">
      <c r="A167" s="2" t="s">
        <v>307</v>
      </c>
      <c r="B167" s="3" t="s">
        <v>576</v>
      </c>
      <c r="C167" s="2" t="s">
        <v>93</v>
      </c>
      <c r="D167" s="9" t="s">
        <v>963</v>
      </c>
      <c r="E167" s="2" t="s">
        <v>577</v>
      </c>
      <c r="F167" s="2" t="str">
        <f>VLOOKUP($B167,'Schema Import'!$A$2:$C$183,3,FALSE)</f>
        <v>1.1.1</v>
      </c>
      <c r="G167" s="2" t="s">
        <v>704</v>
      </c>
      <c r="H167" s="2" t="s">
        <v>951</v>
      </c>
      <c r="I167" s="5">
        <v>1</v>
      </c>
      <c r="J167" s="5">
        <f>COUNTIF(Table1[[#This Row],[Management Zone]:[AWS Credentials]],"*")</f>
        <v>0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3"/>
      <c r="AA167"/>
      <c r="AC167"/>
      <c r="AE167"/>
      <c r="AG167"/>
      <c r="AJ167"/>
      <c r="AK167"/>
    </row>
    <row r="168" spans="1:37" x14ac:dyDescent="0.2">
      <c r="A168" s="2" t="s">
        <v>348</v>
      </c>
      <c r="B168" s="3" t="s">
        <v>580</v>
      </c>
      <c r="C168" s="2" t="s">
        <v>134</v>
      </c>
      <c r="D168" s="9" t="s">
        <v>963</v>
      </c>
      <c r="E168" s="2">
        <v>1</v>
      </c>
      <c r="F168" s="2" t="str">
        <f>VLOOKUP($B168,'Schema Import'!$A$2:$C$183,3,FALSE)</f>
        <v>1</v>
      </c>
      <c r="G168" s="2" t="s">
        <v>704</v>
      </c>
      <c r="H168" s="2" t="s">
        <v>951</v>
      </c>
      <c r="I168" s="5">
        <v>1</v>
      </c>
      <c r="J168" s="5">
        <f>COUNTIF(Table1[[#This Row],[Management Zone]:[AWS Credentials]],"*")</f>
        <v>0</v>
      </c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3"/>
      <c r="AA168"/>
      <c r="AC168"/>
      <c r="AE168"/>
      <c r="AG168"/>
      <c r="AJ168"/>
      <c r="AK168"/>
    </row>
    <row r="169" spans="1:37" x14ac:dyDescent="0.2">
      <c r="A169" s="2" t="s">
        <v>312</v>
      </c>
      <c r="B169" s="3" t="s">
        <v>583</v>
      </c>
      <c r="C169" s="2" t="s">
        <v>98</v>
      </c>
      <c r="D169" s="9" t="s">
        <v>963</v>
      </c>
      <c r="E169" s="2" t="s">
        <v>463</v>
      </c>
      <c r="F169" s="2" t="str">
        <f>VLOOKUP($B169,'Schema Import'!$A$2:$C$183,3,FALSE)</f>
        <v>1.0.6</v>
      </c>
      <c r="G169" s="2" t="s">
        <v>704</v>
      </c>
      <c r="H169" s="2" t="s">
        <v>951</v>
      </c>
      <c r="I169" s="5">
        <v>1</v>
      </c>
      <c r="J169" s="5">
        <f>COUNTIF(Table1[[#This Row],[Management Zone]:[AWS Credentials]],"*")</f>
        <v>0</v>
      </c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3"/>
      <c r="AA169"/>
      <c r="AC169"/>
      <c r="AE169"/>
      <c r="AG169"/>
      <c r="AJ169"/>
      <c r="AK169"/>
    </row>
    <row r="170" spans="1:37" x14ac:dyDescent="0.2">
      <c r="A170" s="2" t="s">
        <v>222</v>
      </c>
      <c r="B170" s="3" t="s">
        <v>635</v>
      </c>
      <c r="C170" s="2" t="s">
        <v>8</v>
      </c>
      <c r="D170" s="9" t="s">
        <v>972</v>
      </c>
      <c r="E170" s="2" t="s">
        <v>708</v>
      </c>
      <c r="F170" s="2" t="e">
        <f>VLOOKUP($B170,'Schema Import'!$A$2:$C$183,3,FALSE)</f>
        <v>#N/A</v>
      </c>
      <c r="G170" s="3" t="s">
        <v>705</v>
      </c>
      <c r="H170" s="2" t="s">
        <v>956</v>
      </c>
      <c r="I170" s="5">
        <v>1</v>
      </c>
      <c r="J170" s="6">
        <f>COUNTIF(Table1[[#This Row],[Management Zone]:[AWS Credentials]],"*")</f>
        <v>0</v>
      </c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3" t="s">
        <v>999</v>
      </c>
      <c r="AA170"/>
      <c r="AC170"/>
      <c r="AE170"/>
      <c r="AG170"/>
      <c r="AJ170"/>
      <c r="AK170"/>
    </row>
    <row r="171" spans="1:37" x14ac:dyDescent="0.2">
      <c r="A171" s="2" t="s">
        <v>288</v>
      </c>
      <c r="B171" s="3" t="s">
        <v>669</v>
      </c>
      <c r="C171" s="2" t="s">
        <v>74</v>
      </c>
      <c r="D171" s="2" t="s">
        <v>963</v>
      </c>
      <c r="E171" s="2" t="s">
        <v>434</v>
      </c>
      <c r="F171" s="2" t="str">
        <f>VLOOKUP($B171,'Schema Import'!$A$2:$C$183,3,FALSE)</f>
        <v>0.0.17</v>
      </c>
      <c r="G171" s="2" t="s">
        <v>704</v>
      </c>
      <c r="H171" s="2" t="s">
        <v>951</v>
      </c>
      <c r="I171" s="5">
        <v>1</v>
      </c>
      <c r="J171" s="5">
        <f>COUNTIF(Table1[[#This Row],[Management Zone]:[AWS Credentials]],"*")</f>
        <v>0</v>
      </c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3" t="s">
        <v>998</v>
      </c>
      <c r="AA171"/>
      <c r="AC171"/>
      <c r="AE171"/>
      <c r="AG171"/>
      <c r="AJ171"/>
      <c r="AK171"/>
    </row>
    <row r="172" spans="1:37" x14ac:dyDescent="0.2">
      <c r="A172" s="2" t="s">
        <v>390</v>
      </c>
      <c r="B172" s="3" t="s">
        <v>601</v>
      </c>
      <c r="C172" s="2" t="s">
        <v>175</v>
      </c>
      <c r="D172" s="9" t="s">
        <v>963</v>
      </c>
      <c r="E172" s="2" t="s">
        <v>602</v>
      </c>
      <c r="F172" s="2" t="str">
        <f>VLOOKUP($B172,'Schema Import'!$A$2:$C$183,3,FALSE)</f>
        <v>2.1.10</v>
      </c>
      <c r="G172" s="2" t="s">
        <v>704</v>
      </c>
      <c r="H172" s="2" t="s">
        <v>951</v>
      </c>
      <c r="I172" s="5">
        <v>1</v>
      </c>
      <c r="J172" s="5">
        <f>COUNTIF(Table1[[#This Row],[Management Zone]:[AWS Credentials]],"*")</f>
        <v>0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3"/>
      <c r="AA172"/>
      <c r="AC172"/>
      <c r="AE172"/>
      <c r="AG172"/>
      <c r="AJ172"/>
      <c r="AK172"/>
    </row>
    <row r="173" spans="1:37" x14ac:dyDescent="0.2">
      <c r="A173" s="2" t="s">
        <v>391</v>
      </c>
      <c r="B173" s="3" t="s">
        <v>603</v>
      </c>
      <c r="C173" s="2" t="s">
        <v>176</v>
      </c>
      <c r="D173" s="9" t="s">
        <v>963</v>
      </c>
      <c r="E173" s="2" t="s">
        <v>604</v>
      </c>
      <c r="F173" s="2" t="str">
        <f>VLOOKUP($B173,'Schema Import'!$A$2:$C$183,3,FALSE)</f>
        <v>2.1.6</v>
      </c>
      <c r="G173" s="2" t="s">
        <v>704</v>
      </c>
      <c r="H173" s="2" t="s">
        <v>951</v>
      </c>
      <c r="I173" s="5">
        <v>1</v>
      </c>
      <c r="J173" s="5">
        <f>COUNTIF(Table1[[#This Row],[Management Zone]:[AWS Credentials]],"*")</f>
        <v>0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3"/>
      <c r="AA173"/>
      <c r="AC173"/>
      <c r="AE173"/>
      <c r="AG173"/>
      <c r="AJ173"/>
      <c r="AK173"/>
    </row>
    <row r="174" spans="1:37" x14ac:dyDescent="0.2">
      <c r="A174" s="2" t="s">
        <v>356</v>
      </c>
      <c r="B174" s="3" t="s">
        <v>500</v>
      </c>
      <c r="C174" s="2" t="s">
        <v>141</v>
      </c>
      <c r="D174" s="9" t="s">
        <v>963</v>
      </c>
      <c r="E174" s="2" t="s">
        <v>436</v>
      </c>
      <c r="F174" s="2" t="str">
        <f>VLOOKUP($B174,'Schema Import'!$A$2:$C$183,3,FALSE)</f>
        <v>1.0.2</v>
      </c>
      <c r="G174" s="2" t="s">
        <v>704</v>
      </c>
      <c r="H174" s="2" t="s">
        <v>951</v>
      </c>
      <c r="I174" s="5">
        <v>2</v>
      </c>
      <c r="J174" s="5">
        <f>COUNTIF(Table1[[#This Row],[Management Zone]:[AWS Credentials]],"*")</f>
        <v>1</v>
      </c>
      <c r="K174" s="5"/>
      <c r="L174" s="5"/>
      <c r="M174" s="5" t="s">
        <v>709</v>
      </c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3"/>
      <c r="AA174"/>
      <c r="AC174"/>
      <c r="AE174"/>
      <c r="AG174"/>
      <c r="AJ174"/>
      <c r="AK174"/>
    </row>
    <row r="175" spans="1:37" x14ac:dyDescent="0.2">
      <c r="A175" s="2" t="s">
        <v>392</v>
      </c>
      <c r="B175" s="3" t="s">
        <v>605</v>
      </c>
      <c r="C175" s="2" t="s">
        <v>177</v>
      </c>
      <c r="D175" s="9" t="s">
        <v>963</v>
      </c>
      <c r="E175" s="2" t="s">
        <v>606</v>
      </c>
      <c r="F175" s="2" t="str">
        <f>VLOOKUP($B175,'Schema Import'!$A$2:$C$183,3,FALSE)</f>
        <v>2.1.10</v>
      </c>
      <c r="G175" s="2" t="s">
        <v>704</v>
      </c>
      <c r="H175" s="2" t="s">
        <v>951</v>
      </c>
      <c r="I175" s="5">
        <v>1</v>
      </c>
      <c r="J175" s="5">
        <f>COUNTIF(Table1[[#This Row],[Management Zone]:[AWS Credentials]],"*")</f>
        <v>0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3"/>
      <c r="AA175"/>
      <c r="AC175"/>
      <c r="AE175"/>
      <c r="AG175"/>
      <c r="AJ175"/>
      <c r="AK175"/>
    </row>
    <row r="176" spans="1:37" x14ac:dyDescent="0.2">
      <c r="A176" s="2" t="s">
        <v>393</v>
      </c>
      <c r="B176" s="3" t="s">
        <v>607</v>
      </c>
      <c r="C176" s="2" t="s">
        <v>178</v>
      </c>
      <c r="D176" s="9" t="s">
        <v>963</v>
      </c>
      <c r="E176" s="2" t="s">
        <v>606</v>
      </c>
      <c r="F176" s="2" t="str">
        <f>VLOOKUP($B176,'Schema Import'!$A$2:$C$183,3,FALSE)</f>
        <v>2.1.10</v>
      </c>
      <c r="G176" s="2" t="s">
        <v>704</v>
      </c>
      <c r="H176" s="2" t="s">
        <v>951</v>
      </c>
      <c r="I176" s="5">
        <v>1</v>
      </c>
      <c r="J176" s="5">
        <f>COUNTIF(Table1[[#This Row],[Management Zone]:[AWS Credentials]],"*")</f>
        <v>0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3"/>
      <c r="AA176"/>
      <c r="AC176"/>
      <c r="AE176"/>
      <c r="AG176"/>
      <c r="AJ176"/>
      <c r="AK176"/>
    </row>
    <row r="177" spans="1:37" x14ac:dyDescent="0.2">
      <c r="A177" s="2" t="s">
        <v>357</v>
      </c>
      <c r="B177" s="3" t="s">
        <v>501</v>
      </c>
      <c r="C177" s="2" t="s">
        <v>142</v>
      </c>
      <c r="D177" s="9" t="s">
        <v>963</v>
      </c>
      <c r="E177" s="2" t="s">
        <v>436</v>
      </c>
      <c r="F177" s="2" t="str">
        <f>VLOOKUP($B177,'Schema Import'!$A$2:$C$183,3,FALSE)</f>
        <v>1.0.2</v>
      </c>
      <c r="G177" s="2" t="s">
        <v>704</v>
      </c>
      <c r="H177" s="2" t="s">
        <v>951</v>
      </c>
      <c r="I177" s="5">
        <v>1</v>
      </c>
      <c r="J177" s="5">
        <f>COUNTIF(Table1[[#This Row],[Management Zone]:[AWS Credentials]],"*")</f>
        <v>0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3"/>
      <c r="AA177"/>
      <c r="AC177"/>
      <c r="AE177"/>
      <c r="AG177"/>
      <c r="AJ177"/>
      <c r="AK177"/>
    </row>
    <row r="178" spans="1:37" x14ac:dyDescent="0.2">
      <c r="A178" s="2" t="s">
        <v>266</v>
      </c>
      <c r="B178" s="3" t="s">
        <v>656</v>
      </c>
      <c r="C178" s="2" t="s">
        <v>52</v>
      </c>
      <c r="D178" s="9" t="s">
        <v>963</v>
      </c>
      <c r="E178" s="2" t="s">
        <v>708</v>
      </c>
      <c r="F178" s="2" t="e">
        <f>VLOOKUP($B178,'Schema Import'!$A$2:$C$183,3,FALSE)</f>
        <v>#N/A</v>
      </c>
      <c r="G178" s="3" t="s">
        <v>705</v>
      </c>
      <c r="H178" s="2" t="s">
        <v>956</v>
      </c>
      <c r="I178" s="5">
        <v>1</v>
      </c>
      <c r="J178" s="6">
        <f>COUNTIF(Table1[[#This Row],[Management Zone]:[AWS Credentials]],"*")</f>
        <v>0</v>
      </c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3"/>
      <c r="AA178"/>
      <c r="AC178"/>
      <c r="AE178"/>
      <c r="AG178"/>
      <c r="AJ178"/>
      <c r="AK178"/>
    </row>
    <row r="179" spans="1:37" x14ac:dyDescent="0.2">
      <c r="A179" s="2" t="s">
        <v>241</v>
      </c>
      <c r="B179" s="3" t="s">
        <v>685</v>
      </c>
      <c r="C179" s="2" t="s">
        <v>27</v>
      </c>
      <c r="D179" s="2" t="s">
        <v>963</v>
      </c>
      <c r="E179" s="2" t="s">
        <v>686</v>
      </c>
      <c r="F179" s="2" t="str">
        <f>VLOOKUP($B179,'Schema Import'!$A$2:$C$183,3,FALSE)</f>
        <v>1.4.8</v>
      </c>
      <c r="G179" s="2" t="s">
        <v>704</v>
      </c>
      <c r="H179" s="2" t="s">
        <v>951</v>
      </c>
      <c r="I179" s="5">
        <v>3</v>
      </c>
      <c r="J179" s="5">
        <f>COUNTIF(Table1[[#This Row],[Management Zone]:[AWS Credentials]],"*")</f>
        <v>1</v>
      </c>
      <c r="K179" s="5"/>
      <c r="L179" s="5" t="s">
        <v>709</v>
      </c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2" t="s">
        <v>1002</v>
      </c>
      <c r="AA179"/>
      <c r="AC179"/>
      <c r="AE179"/>
      <c r="AG179"/>
      <c r="AJ179"/>
      <c r="AK179"/>
    </row>
    <row r="180" spans="1:37" x14ac:dyDescent="0.2">
      <c r="A180" s="2" t="s">
        <v>324</v>
      </c>
      <c r="B180" s="3" t="s">
        <v>609</v>
      </c>
      <c r="C180" s="2" t="s">
        <v>110</v>
      </c>
      <c r="D180" s="9" t="s">
        <v>963</v>
      </c>
      <c r="E180" s="3" t="s">
        <v>438</v>
      </c>
      <c r="F180" s="2" t="str">
        <f>VLOOKUP($B180,'Schema Import'!$A$2:$C$183,3,FALSE)</f>
        <v>1.0.1</v>
      </c>
      <c r="G180" s="2" t="s">
        <v>704</v>
      </c>
      <c r="H180" s="2" t="s">
        <v>951</v>
      </c>
      <c r="I180" s="5">
        <v>3</v>
      </c>
      <c r="J180" s="5">
        <f>COUNTIF(Table1[[#This Row],[Management Zone]:[AWS Credentials]],"*")</f>
        <v>1</v>
      </c>
      <c r="K180" s="5"/>
      <c r="L180" s="5"/>
      <c r="M180" s="5"/>
      <c r="N180" s="5"/>
      <c r="O180" s="5"/>
      <c r="P180" s="5" t="s">
        <v>709</v>
      </c>
      <c r="Q180" s="5"/>
      <c r="R180" s="5"/>
      <c r="S180" s="5"/>
      <c r="T180" s="5"/>
      <c r="U180" s="5"/>
      <c r="V180" s="5"/>
      <c r="W180" s="5"/>
      <c r="X180" s="5"/>
      <c r="Y180" s="5"/>
      <c r="Z180" s="15" t="s">
        <v>1011</v>
      </c>
      <c r="AA180"/>
      <c r="AC180"/>
      <c r="AE180"/>
      <c r="AG180"/>
      <c r="AJ180"/>
      <c r="AK180"/>
    </row>
    <row r="181" spans="1:37" x14ac:dyDescent="0.2">
      <c r="A181" s="2" t="s">
        <v>323</v>
      </c>
      <c r="B181" s="3" t="s">
        <v>608</v>
      </c>
      <c r="C181" s="2" t="s">
        <v>109</v>
      </c>
      <c r="D181" s="9" t="s">
        <v>963</v>
      </c>
      <c r="E181" s="2" t="s">
        <v>465</v>
      </c>
      <c r="F181" s="2" t="str">
        <f>VLOOKUP($B181,'Schema Import'!$A$2:$C$183,3,FALSE)</f>
        <v>1.0.4</v>
      </c>
      <c r="G181" s="2" t="s">
        <v>704</v>
      </c>
      <c r="H181" s="2" t="s">
        <v>951</v>
      </c>
      <c r="I181" s="5">
        <v>3</v>
      </c>
      <c r="J181" s="5">
        <f>COUNTIF(Table1[[#This Row],[Management Zone]:[AWS Credentials]],"*")</f>
        <v>1</v>
      </c>
      <c r="K181" s="5"/>
      <c r="L181" s="5"/>
      <c r="M181" s="5"/>
      <c r="N181" s="5"/>
      <c r="O181" s="5"/>
      <c r="P181" s="5" t="s">
        <v>709</v>
      </c>
      <c r="Q181" s="5"/>
      <c r="R181" s="5"/>
      <c r="S181" s="5"/>
      <c r="T181" s="5"/>
      <c r="U181" s="5"/>
      <c r="V181" s="5"/>
      <c r="W181" s="5"/>
      <c r="X181" s="5"/>
      <c r="Y181" s="5"/>
      <c r="Z181" s="3" t="s">
        <v>974</v>
      </c>
      <c r="AA181"/>
      <c r="AC181"/>
      <c r="AE181"/>
      <c r="AG181"/>
      <c r="AJ181"/>
      <c r="AK181"/>
    </row>
    <row r="182" spans="1:37" x14ac:dyDescent="0.2">
      <c r="A182" s="2" t="s">
        <v>242</v>
      </c>
      <c r="B182" s="3" t="s">
        <v>685</v>
      </c>
      <c r="C182" s="2" t="s">
        <v>28</v>
      </c>
      <c r="D182" s="2" t="s">
        <v>963</v>
      </c>
      <c r="E182" s="2" t="s">
        <v>686</v>
      </c>
      <c r="F182" s="2" t="str">
        <f>VLOOKUP($B182,'Schema Import'!$A$2:$C$183,3,FALSE)</f>
        <v>1.4.8</v>
      </c>
      <c r="G182" s="2" t="s">
        <v>704</v>
      </c>
      <c r="H182" s="2" t="s">
        <v>951</v>
      </c>
      <c r="I182" s="5">
        <v>3</v>
      </c>
      <c r="J182" s="5">
        <f>COUNTIF(Table1[[#This Row],[Management Zone]:[AWS Credentials]],"*")</f>
        <v>1</v>
      </c>
      <c r="K182" s="5"/>
      <c r="L182" s="5" t="s">
        <v>709</v>
      </c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2" t="s">
        <v>1002</v>
      </c>
      <c r="AA182"/>
      <c r="AC182"/>
      <c r="AE182"/>
      <c r="AG182"/>
      <c r="AJ182"/>
      <c r="AK182"/>
    </row>
    <row r="183" spans="1:37" x14ac:dyDescent="0.2">
      <c r="A183" s="2" t="s">
        <v>228</v>
      </c>
      <c r="B183" s="2" t="s">
        <v>697</v>
      </c>
      <c r="C183" s="2" t="s">
        <v>14</v>
      </c>
      <c r="D183" s="2" t="s">
        <v>972</v>
      </c>
      <c r="E183" s="2" t="s">
        <v>708</v>
      </c>
      <c r="F183" s="2" t="e">
        <f>VLOOKUP($B183,'Schema Import'!$A$2:$C$183,3,FALSE)</f>
        <v>#N/A</v>
      </c>
      <c r="G183" s="3" t="s">
        <v>707</v>
      </c>
      <c r="H183" s="2" t="s">
        <v>953</v>
      </c>
      <c r="I183" s="5">
        <v>3</v>
      </c>
      <c r="J183" s="6">
        <f>COUNTIF(Table1[[#This Row],[Management Zone]:[AWS Credentials]],"*")</f>
        <v>2</v>
      </c>
      <c r="K183" s="6" t="s">
        <v>709</v>
      </c>
      <c r="L183" s="6"/>
      <c r="M183" s="6"/>
      <c r="N183" s="6" t="s">
        <v>709</v>
      </c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2" t="s">
        <v>1000</v>
      </c>
      <c r="AA183"/>
      <c r="AC183"/>
      <c r="AE183"/>
      <c r="AG183"/>
      <c r="AJ183"/>
      <c r="AK183"/>
    </row>
    <row r="184" spans="1:37" x14ac:dyDescent="0.2">
      <c r="A184" s="2" t="s">
        <v>354</v>
      </c>
      <c r="B184" s="3" t="s">
        <v>549</v>
      </c>
      <c r="C184" s="2" t="s">
        <v>139</v>
      </c>
      <c r="D184" s="2" t="s">
        <v>963</v>
      </c>
      <c r="E184" s="2">
        <v>0.6</v>
      </c>
      <c r="F184" s="2" t="str">
        <f>VLOOKUP($B184,'Schema Import'!$A$2:$C$183,3,FALSE)</f>
        <v>0.6</v>
      </c>
      <c r="G184" s="2" t="s">
        <v>704</v>
      </c>
      <c r="H184" s="2" t="s">
        <v>951</v>
      </c>
      <c r="I184" s="5">
        <v>1</v>
      </c>
      <c r="J184" s="5">
        <f>COUNTIF(Table1[[#This Row],[Management Zone]:[AWS Credentials]],"*")</f>
        <v>0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3"/>
      <c r="AA184"/>
      <c r="AC184"/>
      <c r="AE184"/>
      <c r="AG184"/>
      <c r="AJ184"/>
      <c r="AK184"/>
    </row>
    <row r="185" spans="1:37" x14ac:dyDescent="0.2">
      <c r="A185" s="2" t="s">
        <v>229</v>
      </c>
      <c r="B185" s="3" t="s">
        <v>544</v>
      </c>
      <c r="C185" s="2" t="s">
        <v>15</v>
      </c>
      <c r="D185" s="2" t="s">
        <v>963</v>
      </c>
      <c r="E185" s="2" t="s">
        <v>545</v>
      </c>
      <c r="F185" s="2" t="str">
        <f>VLOOKUP($B185,'Schema Import'!$A$2:$C$183,3,FALSE)</f>
        <v>6.0.11</v>
      </c>
      <c r="G185" s="2" t="s">
        <v>704</v>
      </c>
      <c r="H185" s="2" t="s">
        <v>951</v>
      </c>
      <c r="I185" s="5">
        <v>3</v>
      </c>
      <c r="J185" s="5">
        <f>COUNTIF(Table1[[#This Row],[Management Zone]:[AWS Credentials]],"*")</f>
        <v>2</v>
      </c>
      <c r="K185" s="5" t="s">
        <v>709</v>
      </c>
      <c r="L185" s="5"/>
      <c r="M185" s="5"/>
      <c r="N185" s="5" t="s">
        <v>709</v>
      </c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3" t="s">
        <v>1024</v>
      </c>
      <c r="AA185"/>
      <c r="AC185"/>
      <c r="AE185"/>
      <c r="AG185"/>
      <c r="AJ185"/>
      <c r="AK185"/>
    </row>
    <row r="186" spans="1:37" x14ac:dyDescent="0.2">
      <c r="A186" s="2" t="s">
        <v>230</v>
      </c>
      <c r="B186" s="3" t="s">
        <v>687</v>
      </c>
      <c r="C186" s="2" t="s">
        <v>16</v>
      </c>
      <c r="D186" s="9" t="s">
        <v>963</v>
      </c>
      <c r="E186" s="2" t="s">
        <v>688</v>
      </c>
      <c r="F186" s="2" t="str">
        <f>VLOOKUP($B186,'Schema Import'!$A$2:$C$183,3,FALSE)</f>
        <v>0.0.30</v>
      </c>
      <c r="G186" s="2" t="s">
        <v>704</v>
      </c>
      <c r="H186" s="2" t="s">
        <v>951</v>
      </c>
      <c r="I186" s="5">
        <v>1</v>
      </c>
      <c r="J186" s="5">
        <f>COUNTIF(Table1[[#This Row],[Management Zone]:[AWS Credentials]],"*")</f>
        <v>0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2" t="s">
        <v>674</v>
      </c>
      <c r="AA186"/>
      <c r="AC186"/>
      <c r="AE186"/>
      <c r="AG186"/>
      <c r="AJ186"/>
      <c r="AK186"/>
    </row>
    <row r="187" spans="1:37" x14ac:dyDescent="0.2">
      <c r="A187" s="2" t="s">
        <v>231</v>
      </c>
      <c r="B187" s="3" t="s">
        <v>689</v>
      </c>
      <c r="C187" s="2" t="s">
        <v>17</v>
      </c>
      <c r="D187" s="9" t="s">
        <v>963</v>
      </c>
      <c r="E187" s="2" t="s">
        <v>690</v>
      </c>
      <c r="F187" s="2" t="str">
        <f>VLOOKUP($B187,'Schema Import'!$A$2:$C$183,3,FALSE)</f>
        <v>0.1.15</v>
      </c>
      <c r="G187" s="2" t="s">
        <v>704</v>
      </c>
      <c r="H187" s="2" t="s">
        <v>951</v>
      </c>
      <c r="I187" s="5">
        <v>1</v>
      </c>
      <c r="J187" s="5">
        <f>COUNTIF(Table1[[#This Row],[Management Zone]:[AWS Credentials]],"*")</f>
        <v>0</v>
      </c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2" t="s">
        <v>674</v>
      </c>
      <c r="AA187"/>
      <c r="AC187"/>
      <c r="AE187"/>
      <c r="AG187"/>
      <c r="AJ187"/>
      <c r="AK187"/>
    </row>
    <row r="188" spans="1:37" x14ac:dyDescent="0.2">
      <c r="A188" s="2" t="s">
        <v>232</v>
      </c>
      <c r="B188" s="3" t="s">
        <v>691</v>
      </c>
      <c r="C188" s="2" t="s">
        <v>18</v>
      </c>
      <c r="D188" s="9" t="s">
        <v>963</v>
      </c>
      <c r="E188" s="2" t="s">
        <v>692</v>
      </c>
      <c r="F188" s="2" t="str">
        <f>VLOOKUP($B188,'Schema Import'!$A$2:$C$183,3,FALSE)</f>
        <v>0.1.18</v>
      </c>
      <c r="G188" s="2" t="s">
        <v>704</v>
      </c>
      <c r="H188" s="2" t="s">
        <v>951</v>
      </c>
      <c r="I188" s="5">
        <v>1</v>
      </c>
      <c r="J188" s="5">
        <f>COUNTIF(Table1[[#This Row],[Management Zone]:[AWS Credentials]],"*")</f>
        <v>0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2" t="s">
        <v>674</v>
      </c>
      <c r="AA188"/>
      <c r="AC188"/>
      <c r="AE188"/>
      <c r="AG188"/>
      <c r="AJ188"/>
      <c r="AK188"/>
    </row>
    <row r="189" spans="1:37" x14ac:dyDescent="0.2">
      <c r="A189" s="2" t="s">
        <v>233</v>
      </c>
      <c r="B189" s="3" t="s">
        <v>693</v>
      </c>
      <c r="C189" s="2" t="s">
        <v>19</v>
      </c>
      <c r="D189" s="9" t="s">
        <v>963</v>
      </c>
      <c r="E189" s="2" t="s">
        <v>694</v>
      </c>
      <c r="F189" s="2" t="str">
        <f>VLOOKUP($B189,'Schema Import'!$A$2:$C$183,3,FALSE)</f>
        <v>0.1.16</v>
      </c>
      <c r="G189" s="2" t="s">
        <v>704</v>
      </c>
      <c r="H189" s="2" t="s">
        <v>951</v>
      </c>
      <c r="I189" s="5">
        <v>1</v>
      </c>
      <c r="J189" s="5">
        <f>COUNTIF(Table1[[#This Row],[Management Zone]:[AWS Credentials]],"*")</f>
        <v>0</v>
      </c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2" t="s">
        <v>674</v>
      </c>
      <c r="AA189"/>
      <c r="AC189"/>
      <c r="AE189"/>
      <c r="AG189"/>
      <c r="AJ189"/>
      <c r="AK189"/>
    </row>
    <row r="190" spans="1:37" x14ac:dyDescent="0.2">
      <c r="A190" s="2" t="s">
        <v>326</v>
      </c>
      <c r="B190" s="3" t="s">
        <v>611</v>
      </c>
      <c r="C190" s="2" t="s">
        <v>112</v>
      </c>
      <c r="D190" s="9" t="s">
        <v>963</v>
      </c>
      <c r="E190" s="2" t="s">
        <v>438</v>
      </c>
      <c r="F190" s="2" t="str">
        <f>VLOOKUP($B190,'Schema Import'!$A$2:$C$183,3,FALSE)</f>
        <v>1.0.1</v>
      </c>
      <c r="G190" s="2" t="s">
        <v>704</v>
      </c>
      <c r="H190" s="2" t="s">
        <v>951</v>
      </c>
      <c r="I190" s="5">
        <v>1</v>
      </c>
      <c r="J190" s="5">
        <f>COUNTIF(Table1[[#This Row],[Management Zone]:[AWS Credentials]],"*")</f>
        <v>0</v>
      </c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3"/>
      <c r="AA190"/>
      <c r="AC190"/>
      <c r="AE190"/>
      <c r="AG190"/>
      <c r="AJ190"/>
      <c r="AK190"/>
    </row>
    <row r="191" spans="1:37" x14ac:dyDescent="0.2">
      <c r="A191" s="2" t="s">
        <v>275</v>
      </c>
      <c r="B191" s="3" t="s">
        <v>662</v>
      </c>
      <c r="C191" s="2" t="s">
        <v>61</v>
      </c>
      <c r="D191" s="9" t="s">
        <v>963</v>
      </c>
      <c r="E191" s="2" t="s">
        <v>708</v>
      </c>
      <c r="F191" s="2" t="e">
        <f>VLOOKUP($B191,'Schema Import'!$A$2:$C$183,3,FALSE)</f>
        <v>#N/A</v>
      </c>
      <c r="G191" s="3" t="s">
        <v>958</v>
      </c>
      <c r="H191" s="2" t="s">
        <v>959</v>
      </c>
      <c r="I191" s="5">
        <v>1</v>
      </c>
      <c r="J191" s="6">
        <f>COUNTIF(Table1[[#This Row],[Management Zone]:[AWS Credentials]],"*")</f>
        <v>0</v>
      </c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3"/>
      <c r="AA191"/>
      <c r="AC191"/>
      <c r="AE191"/>
      <c r="AG191"/>
      <c r="AJ191"/>
      <c r="AK191"/>
    </row>
    <row r="192" spans="1:37" x14ac:dyDescent="0.2">
      <c r="A192" s="2" t="s">
        <v>404</v>
      </c>
      <c r="B192" s="3" t="s">
        <v>620</v>
      </c>
      <c r="C192" s="2" t="s">
        <v>189</v>
      </c>
      <c r="D192" s="9" t="s">
        <v>963</v>
      </c>
      <c r="E192" s="2" t="s">
        <v>621</v>
      </c>
      <c r="F192" s="2" t="str">
        <f>VLOOKUP($B192,'Schema Import'!$A$2:$C$183,3,FALSE)</f>
        <v>2.0.2</v>
      </c>
      <c r="G192" s="2" t="s">
        <v>704</v>
      </c>
      <c r="H192" s="2" t="s">
        <v>951</v>
      </c>
      <c r="I192" s="5">
        <v>1</v>
      </c>
      <c r="J192" s="5">
        <f>COUNTIF(Table1[[#This Row],[Management Zone]:[AWS Credentials]],"*")</f>
        <v>0</v>
      </c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3"/>
      <c r="AA192"/>
      <c r="AC192"/>
      <c r="AE192"/>
      <c r="AG192"/>
      <c r="AJ192"/>
      <c r="AK192"/>
    </row>
    <row r="193" spans="1:37" x14ac:dyDescent="0.2">
      <c r="A193" s="2" t="s">
        <v>346</v>
      </c>
      <c r="B193" s="3" t="s">
        <v>525</v>
      </c>
      <c r="C193" s="2" t="s">
        <v>132</v>
      </c>
      <c r="D193" s="9" t="s">
        <v>963</v>
      </c>
      <c r="E193" s="2">
        <v>1.2</v>
      </c>
      <c r="F193" s="2" t="str">
        <f>VLOOKUP($B193,'Schema Import'!$A$2:$C$183,3,FALSE)</f>
        <v>1.2</v>
      </c>
      <c r="G193" s="2" t="s">
        <v>704</v>
      </c>
      <c r="H193" s="2" t="s">
        <v>951</v>
      </c>
      <c r="I193" s="5">
        <v>1</v>
      </c>
      <c r="J193" s="5">
        <f>COUNTIF(Table1[[#This Row],[Management Zone]:[AWS Credentials]],"*")</f>
        <v>0</v>
      </c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3"/>
      <c r="AA193"/>
      <c r="AC193"/>
      <c r="AE193"/>
      <c r="AG193"/>
      <c r="AJ193"/>
      <c r="AK193"/>
    </row>
    <row r="194" spans="1:37" x14ac:dyDescent="0.2">
      <c r="A194" s="2" t="s">
        <v>243</v>
      </c>
      <c r="B194" s="3" t="s">
        <v>685</v>
      </c>
      <c r="C194" s="2" t="s">
        <v>29</v>
      </c>
      <c r="D194" s="2" t="s">
        <v>963</v>
      </c>
      <c r="E194" s="2" t="s">
        <v>686</v>
      </c>
      <c r="F194" s="2" t="str">
        <f>VLOOKUP($B194,'Schema Import'!$A$2:$C$183,3,FALSE)</f>
        <v>1.4.8</v>
      </c>
      <c r="G194" s="2" t="s">
        <v>704</v>
      </c>
      <c r="H194" s="2" t="s">
        <v>951</v>
      </c>
      <c r="I194" s="5">
        <v>3</v>
      </c>
      <c r="J194" s="5">
        <f>COUNTIF(Table1[[#This Row],[Management Zone]:[AWS Credentials]],"*")</f>
        <v>1</v>
      </c>
      <c r="K194" s="5"/>
      <c r="L194" s="5" t="s">
        <v>709</v>
      </c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2" t="s">
        <v>1002</v>
      </c>
      <c r="AA194"/>
      <c r="AC194"/>
      <c r="AE194"/>
      <c r="AG194"/>
      <c r="AJ194"/>
      <c r="AK194"/>
    </row>
    <row r="195" spans="1:37" x14ac:dyDescent="0.2">
      <c r="A195" s="2" t="s">
        <v>315</v>
      </c>
      <c r="B195" s="3" t="s">
        <v>484</v>
      </c>
      <c r="C195" s="2" t="s">
        <v>101</v>
      </c>
      <c r="D195" s="9" t="s">
        <v>963</v>
      </c>
      <c r="E195" s="2" t="s">
        <v>485</v>
      </c>
      <c r="F195" s="2" t="str">
        <f>VLOOKUP($B195,'Schema Import'!$A$2:$C$183,3,FALSE)</f>
        <v>0.63.2</v>
      </c>
      <c r="G195" s="2" t="s">
        <v>704</v>
      </c>
      <c r="H195" s="2" t="s">
        <v>951</v>
      </c>
      <c r="I195" s="5">
        <v>1</v>
      </c>
      <c r="J195" s="5">
        <f>COUNTIF(Table1[[#This Row],[Management Zone]:[AWS Credentials]],"*")</f>
        <v>0</v>
      </c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3"/>
      <c r="AA195"/>
      <c r="AC195"/>
      <c r="AE195"/>
      <c r="AG195"/>
      <c r="AJ195"/>
      <c r="AK195"/>
    </row>
    <row r="196" spans="1:37" x14ac:dyDescent="0.2">
      <c r="A196" s="2" t="s">
        <v>325</v>
      </c>
      <c r="B196" s="3" t="s">
        <v>622</v>
      </c>
      <c r="C196" s="2" t="s">
        <v>111</v>
      </c>
      <c r="D196" s="9" t="s">
        <v>963</v>
      </c>
      <c r="E196" s="2" t="s">
        <v>623</v>
      </c>
      <c r="F196" s="2" t="str">
        <f>VLOOKUP($B196,'Schema Import'!$A$2:$C$183,3,FALSE)</f>
        <v>1</v>
      </c>
      <c r="G196" s="2" t="s">
        <v>704</v>
      </c>
      <c r="H196" s="2" t="s">
        <v>951</v>
      </c>
      <c r="I196" s="5">
        <v>3</v>
      </c>
      <c r="J196" s="5">
        <f>COUNTIF(Table1[[#This Row],[Management Zone]:[AWS Credentials]],"*")</f>
        <v>1</v>
      </c>
      <c r="K196" s="5"/>
      <c r="L196" s="5"/>
      <c r="M196" s="5"/>
      <c r="N196" s="5"/>
      <c r="O196" s="5"/>
      <c r="P196" s="5" t="s">
        <v>709</v>
      </c>
      <c r="Q196" s="5"/>
      <c r="R196" s="5"/>
      <c r="S196" s="5"/>
      <c r="T196" s="5"/>
      <c r="U196" s="5"/>
      <c r="V196" s="5"/>
      <c r="W196" s="5"/>
      <c r="X196" s="5"/>
      <c r="Y196" s="5"/>
      <c r="Z196" s="3"/>
      <c r="AA196"/>
      <c r="AC196"/>
      <c r="AE196"/>
      <c r="AG196"/>
      <c r="AJ196"/>
      <c r="AK196"/>
    </row>
    <row r="197" spans="1:37" x14ac:dyDescent="0.2">
      <c r="A197" s="2" t="s">
        <v>407</v>
      </c>
      <c r="B197" s="3" t="s">
        <v>624</v>
      </c>
      <c r="C197" s="2" t="s">
        <v>192</v>
      </c>
      <c r="D197" s="9" t="s">
        <v>963</v>
      </c>
      <c r="E197" s="2">
        <v>1</v>
      </c>
      <c r="F197" s="2" t="str">
        <f>VLOOKUP($B197,'Schema Import'!$A$2:$C$183,3,FALSE)</f>
        <v>1</v>
      </c>
      <c r="G197" s="2" t="s">
        <v>704</v>
      </c>
      <c r="H197" s="2" t="s">
        <v>951</v>
      </c>
      <c r="I197" s="5">
        <v>1</v>
      </c>
      <c r="J197" s="5">
        <f>COUNTIF(Table1[[#This Row],[Management Zone]:[AWS Credentials]],"*")</f>
        <v>0</v>
      </c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3"/>
      <c r="AA197"/>
      <c r="AC197"/>
      <c r="AE197"/>
      <c r="AG197"/>
      <c r="AJ197"/>
      <c r="AK197"/>
    </row>
    <row r="198" spans="1:37" x14ac:dyDescent="0.2">
      <c r="A198" s="2" t="s">
        <v>313</v>
      </c>
      <c r="B198" s="3" t="s">
        <v>586</v>
      </c>
      <c r="C198" s="2" t="s">
        <v>99</v>
      </c>
      <c r="D198" s="2" t="s">
        <v>963</v>
      </c>
      <c r="E198" s="3" t="s">
        <v>460</v>
      </c>
      <c r="F198" s="2" t="str">
        <f>VLOOKUP($B198,'Schema Import'!$A$2:$C$183,3,FALSE)</f>
        <v>1.0.3</v>
      </c>
      <c r="G198" s="2" t="s">
        <v>704</v>
      </c>
      <c r="H198" s="2" t="s">
        <v>951</v>
      </c>
      <c r="I198" s="5">
        <v>1</v>
      </c>
      <c r="J198" s="5">
        <f>COUNTIF(Table1[[#This Row],[Management Zone]:[AWS Credentials]],"*")</f>
        <v>0</v>
      </c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3"/>
      <c r="AA198"/>
      <c r="AC198"/>
      <c r="AE198"/>
      <c r="AG198"/>
      <c r="AJ198"/>
      <c r="AK198"/>
    </row>
    <row r="199" spans="1:37" x14ac:dyDescent="0.2">
      <c r="A199" s="2" t="s">
        <v>400</v>
      </c>
      <c r="B199" s="3" t="s">
        <v>473</v>
      </c>
      <c r="C199" s="2" t="s">
        <v>185</v>
      </c>
      <c r="D199" s="2" t="s">
        <v>963</v>
      </c>
      <c r="E199" s="3" t="s">
        <v>474</v>
      </c>
      <c r="F199" s="2" t="str">
        <f>VLOOKUP($B199,'Schema Import'!$A$2:$C$183,3,FALSE)</f>
        <v>1.0.7</v>
      </c>
      <c r="G199" s="2" t="s">
        <v>704</v>
      </c>
      <c r="H199" s="2" t="s">
        <v>951</v>
      </c>
      <c r="I199" s="5">
        <v>1</v>
      </c>
      <c r="J199" s="5">
        <f>COUNTIF(Table1[[#This Row],[Management Zone]:[AWS Credentials]],"*")</f>
        <v>0</v>
      </c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3"/>
      <c r="AA199"/>
      <c r="AC199"/>
      <c r="AE199"/>
      <c r="AG199"/>
      <c r="AJ199"/>
      <c r="AK199"/>
    </row>
    <row r="200" spans="1:37" x14ac:dyDescent="0.2">
      <c r="A200" s="2" t="s">
        <v>377</v>
      </c>
      <c r="B200" s="3" t="s">
        <v>625</v>
      </c>
      <c r="C200" s="2" t="s">
        <v>162</v>
      </c>
      <c r="D200" s="2" t="s">
        <v>1006</v>
      </c>
      <c r="E200" s="2" t="s">
        <v>626</v>
      </c>
      <c r="F200" s="2" t="str">
        <f>VLOOKUP($B200,'Schema Import'!$A$2:$C$183,3,FALSE)</f>
        <v>1.1.3</v>
      </c>
      <c r="G200" s="2" t="s">
        <v>704</v>
      </c>
      <c r="H200" s="2" t="s">
        <v>951</v>
      </c>
      <c r="I200" s="5">
        <v>1</v>
      </c>
      <c r="J200" s="5">
        <f>COUNTIF(Table1[[#This Row],[Management Zone]:[AWS Credentials]],"*")</f>
        <v>0</v>
      </c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3" t="s">
        <v>1021</v>
      </c>
      <c r="AA200"/>
      <c r="AC200"/>
      <c r="AE200"/>
      <c r="AG200"/>
      <c r="AJ200"/>
      <c r="AK200"/>
    </row>
    <row r="201" spans="1:37" x14ac:dyDescent="0.2">
      <c r="A201" s="2" t="s">
        <v>244</v>
      </c>
      <c r="B201" s="3" t="s">
        <v>685</v>
      </c>
      <c r="C201" s="2" t="s">
        <v>30</v>
      </c>
      <c r="D201" s="2" t="s">
        <v>963</v>
      </c>
      <c r="E201" s="2" t="s">
        <v>686</v>
      </c>
      <c r="F201" s="2" t="str">
        <f>VLOOKUP($B201,'Schema Import'!$A$2:$C$183,3,FALSE)</f>
        <v>1.4.8</v>
      </c>
      <c r="G201" s="2" t="s">
        <v>704</v>
      </c>
      <c r="H201" s="2" t="s">
        <v>951</v>
      </c>
      <c r="I201" s="5">
        <v>3</v>
      </c>
      <c r="J201" s="5">
        <f>COUNTIF(Table1[[#This Row],[Management Zone]:[AWS Credentials]],"*")</f>
        <v>1</v>
      </c>
      <c r="K201" s="5"/>
      <c r="L201" s="5" t="s">
        <v>709</v>
      </c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2" t="s">
        <v>1002</v>
      </c>
      <c r="AA201"/>
      <c r="AC201"/>
      <c r="AE201"/>
      <c r="AG201"/>
      <c r="AJ201"/>
      <c r="AK201"/>
    </row>
    <row r="202" spans="1:37" x14ac:dyDescent="0.2">
      <c r="A202" s="2" t="s">
        <v>422</v>
      </c>
      <c r="B202" s="3" t="s">
        <v>443</v>
      </c>
      <c r="C202" s="2" t="s">
        <v>207</v>
      </c>
      <c r="D202" s="2" t="s">
        <v>963</v>
      </c>
      <c r="E202" s="2">
        <v>1</v>
      </c>
      <c r="F202" s="2" t="str">
        <f>VLOOKUP($B202,'Schema Import'!$A$2:$C$183,3,FALSE)</f>
        <v>1</v>
      </c>
      <c r="G202" s="2" t="s">
        <v>704</v>
      </c>
      <c r="H202" s="2" t="s">
        <v>951</v>
      </c>
      <c r="I202" s="5">
        <v>1</v>
      </c>
      <c r="J202" s="5">
        <f>COUNTIF(Table1[[#This Row],[Management Zone]:[AWS Credentials]],"*")</f>
        <v>0</v>
      </c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3"/>
      <c r="AA202"/>
      <c r="AC202"/>
      <c r="AE202"/>
      <c r="AG202"/>
      <c r="AJ202"/>
      <c r="AK202"/>
    </row>
    <row r="203" spans="1:37" x14ac:dyDescent="0.2">
      <c r="A203" s="2" t="s">
        <v>301</v>
      </c>
      <c r="B203" s="3" t="s">
        <v>454</v>
      </c>
      <c r="C203" s="2" t="s">
        <v>87</v>
      </c>
      <c r="D203" s="2" t="s">
        <v>963</v>
      </c>
      <c r="E203" s="2" t="s">
        <v>438</v>
      </c>
      <c r="F203" s="2" t="str">
        <f>VLOOKUP($B203,'Schema Import'!$A$2:$C$183,3,FALSE)</f>
        <v>1.0.1</v>
      </c>
      <c r="G203" s="2" t="s">
        <v>704</v>
      </c>
      <c r="H203" s="2" t="s">
        <v>951</v>
      </c>
      <c r="I203" s="5">
        <v>3</v>
      </c>
      <c r="J203" s="5">
        <f>COUNTIF(Table1[[#This Row],[Management Zone]:[AWS Credentials]],"*")</f>
        <v>1</v>
      </c>
      <c r="K203" s="5"/>
      <c r="L203" s="5"/>
      <c r="M203" s="5"/>
      <c r="N203" s="5"/>
      <c r="O203" s="5"/>
      <c r="P203" s="5" t="s">
        <v>709</v>
      </c>
      <c r="Q203" s="5"/>
      <c r="R203" s="5"/>
      <c r="S203" s="5"/>
      <c r="T203" s="5"/>
      <c r="U203" s="5"/>
      <c r="V203" s="5"/>
      <c r="W203" s="5"/>
      <c r="X203" s="5"/>
      <c r="Y203" s="5"/>
      <c r="Z203" s="3" t="s">
        <v>1003</v>
      </c>
      <c r="AA203"/>
      <c r="AC203"/>
      <c r="AE203"/>
      <c r="AG203"/>
      <c r="AJ203"/>
      <c r="AK203"/>
    </row>
    <row r="204" spans="1:37" x14ac:dyDescent="0.2">
      <c r="A204" s="2" t="s">
        <v>350</v>
      </c>
      <c r="B204" s="3" t="s">
        <v>588</v>
      </c>
      <c r="C204" s="2" t="s">
        <v>136</v>
      </c>
      <c r="D204" s="2" t="s">
        <v>963</v>
      </c>
      <c r="E204" s="2" t="s">
        <v>460</v>
      </c>
      <c r="F204" s="2" t="str">
        <f>VLOOKUP($B204,'Schema Import'!$A$2:$C$183,3,FALSE)</f>
        <v>1.0.3</v>
      </c>
      <c r="G204" s="2" t="s">
        <v>704</v>
      </c>
      <c r="H204" s="2" t="s">
        <v>951</v>
      </c>
      <c r="I204" s="5">
        <v>1</v>
      </c>
      <c r="J204" s="5">
        <f>COUNTIF(Table1[[#This Row],[Management Zone]:[AWS Credentials]],"*")</f>
        <v>0</v>
      </c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3"/>
      <c r="AA204"/>
      <c r="AC204"/>
      <c r="AE204"/>
      <c r="AG204"/>
      <c r="AJ204"/>
      <c r="AK204"/>
    </row>
    <row r="205" spans="1:37" x14ac:dyDescent="0.2">
      <c r="A205" s="2" t="s">
        <v>375</v>
      </c>
      <c r="B205" s="3" t="s">
        <v>589</v>
      </c>
      <c r="C205" s="2" t="s">
        <v>160</v>
      </c>
      <c r="D205" s="2" t="s">
        <v>1006</v>
      </c>
      <c r="E205" s="2" t="s">
        <v>436</v>
      </c>
      <c r="F205" s="2" t="str">
        <f>VLOOKUP($B205,'Schema Import'!$A$2:$C$183,3,FALSE)</f>
        <v>1.0.2</v>
      </c>
      <c r="G205" s="2" t="s">
        <v>704</v>
      </c>
      <c r="H205" s="2" t="s">
        <v>951</v>
      </c>
      <c r="I205" s="5">
        <v>3</v>
      </c>
      <c r="J205" s="5">
        <f>COUNTIF(Table1[[#This Row],[Management Zone]:[AWS Credentials]],"*")</f>
        <v>1</v>
      </c>
      <c r="K205" s="5"/>
      <c r="L205" s="5"/>
      <c r="M205" s="5"/>
      <c r="N205" s="5"/>
      <c r="O205" s="5"/>
      <c r="P205" s="5" t="s">
        <v>709</v>
      </c>
      <c r="Q205" s="5"/>
      <c r="R205" s="5"/>
      <c r="S205" s="5"/>
      <c r="T205" s="5"/>
      <c r="U205" s="5"/>
      <c r="V205" s="5"/>
      <c r="W205" s="5"/>
      <c r="X205" s="5"/>
      <c r="Y205" s="5"/>
      <c r="Z205" s="3" t="s">
        <v>1009</v>
      </c>
      <c r="AA205"/>
      <c r="AC205"/>
      <c r="AE205"/>
      <c r="AG205"/>
      <c r="AJ205"/>
      <c r="AK205"/>
    </row>
    <row r="206" spans="1:37" x14ac:dyDescent="0.2">
      <c r="A206" s="2" t="s">
        <v>310</v>
      </c>
      <c r="B206" s="3" t="s">
        <v>591</v>
      </c>
      <c r="C206" s="2" t="s">
        <v>96</v>
      </c>
      <c r="D206" s="2" t="s">
        <v>963</v>
      </c>
      <c r="E206" s="2" t="s">
        <v>463</v>
      </c>
      <c r="F206" s="2" t="str">
        <f>VLOOKUP($B206,'Schema Import'!$A$2:$C$183,3,FALSE)</f>
        <v>1.0.6</v>
      </c>
      <c r="G206" s="2" t="s">
        <v>704</v>
      </c>
      <c r="H206" s="2" t="s">
        <v>951</v>
      </c>
      <c r="I206" s="5">
        <v>3</v>
      </c>
      <c r="J206" s="5">
        <f>COUNTIF(Table1[[#This Row],[Management Zone]:[AWS Credentials]],"*")</f>
        <v>1</v>
      </c>
      <c r="K206" s="5"/>
      <c r="L206" s="5"/>
      <c r="M206" s="5"/>
      <c r="N206" s="5"/>
      <c r="O206" s="5"/>
      <c r="P206" s="5" t="s">
        <v>709</v>
      </c>
      <c r="Q206" s="5"/>
      <c r="R206" s="5"/>
      <c r="S206" s="5"/>
      <c r="T206" s="5"/>
      <c r="U206" s="5"/>
      <c r="V206" s="5"/>
      <c r="W206" s="5"/>
      <c r="X206" s="5"/>
      <c r="Y206" s="5"/>
      <c r="Z206" s="3" t="s">
        <v>1011</v>
      </c>
      <c r="AA206"/>
      <c r="AC206"/>
      <c r="AE206"/>
      <c r="AG206"/>
      <c r="AJ206"/>
      <c r="AK206"/>
    </row>
    <row r="207" spans="1:37" x14ac:dyDescent="0.2">
      <c r="A207" s="2" t="s">
        <v>409</v>
      </c>
      <c r="B207" s="3" t="s">
        <v>600</v>
      </c>
      <c r="C207" s="2" t="s">
        <v>194</v>
      </c>
      <c r="D207" s="2" t="s">
        <v>963</v>
      </c>
      <c r="E207" s="2" t="s">
        <v>465</v>
      </c>
      <c r="F207" s="2" t="str">
        <f>VLOOKUP($B207,'Schema Import'!$A$2:$C$183,3,FALSE)</f>
        <v>1.0.4</v>
      </c>
      <c r="G207" s="2" t="s">
        <v>704</v>
      </c>
      <c r="H207" s="2" t="s">
        <v>951</v>
      </c>
      <c r="I207" s="5">
        <v>3</v>
      </c>
      <c r="J207" s="5">
        <f>COUNTIF(Table1[[#This Row],[Management Zone]:[AWS Credentials]],"*")</f>
        <v>1</v>
      </c>
      <c r="K207" s="5"/>
      <c r="L207" s="5"/>
      <c r="M207" s="5"/>
      <c r="N207" s="5"/>
      <c r="O207" s="5"/>
      <c r="P207" s="5" t="s">
        <v>709</v>
      </c>
      <c r="Q207" s="5"/>
      <c r="R207" s="5"/>
      <c r="S207" s="5"/>
      <c r="T207" s="5"/>
      <c r="U207" s="5"/>
      <c r="V207" s="5"/>
      <c r="W207" s="5"/>
      <c r="X207" s="5"/>
      <c r="Y207" s="5"/>
      <c r="Z207" s="3"/>
      <c r="AA207"/>
      <c r="AC207"/>
      <c r="AE207"/>
      <c r="AG207"/>
      <c r="AJ207"/>
      <c r="AK207"/>
    </row>
    <row r="208" spans="1:37" x14ac:dyDescent="0.2">
      <c r="A208" s="2" t="s">
        <v>408</v>
      </c>
      <c r="B208" s="3" t="s">
        <v>590</v>
      </c>
      <c r="C208" s="2" t="s">
        <v>193</v>
      </c>
      <c r="D208" s="2" t="s">
        <v>963</v>
      </c>
      <c r="E208" s="2" t="s">
        <v>436</v>
      </c>
      <c r="F208" s="2" t="str">
        <f>VLOOKUP($B208,'Schema Import'!$A$2:$C$183,3,FALSE)</f>
        <v>1.0.2</v>
      </c>
      <c r="G208" s="2" t="s">
        <v>704</v>
      </c>
      <c r="H208" s="2" t="s">
        <v>951</v>
      </c>
      <c r="I208" s="5">
        <v>1</v>
      </c>
      <c r="J208" s="5">
        <f>COUNTIF(Table1[[#This Row],[Management Zone]:[AWS Credentials]],"*")</f>
        <v>0</v>
      </c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3"/>
      <c r="AA208"/>
      <c r="AC208"/>
      <c r="AE208"/>
      <c r="AG208"/>
      <c r="AJ208"/>
      <c r="AK208"/>
    </row>
    <row r="209" spans="1:37" x14ac:dyDescent="0.2">
      <c r="A209" s="2" t="s">
        <v>427</v>
      </c>
      <c r="B209" s="3" t="s">
        <v>592</v>
      </c>
      <c r="C209" s="2" t="s">
        <v>212</v>
      </c>
      <c r="D209" s="2" t="s">
        <v>1006</v>
      </c>
      <c r="E209" s="2" t="s">
        <v>593</v>
      </c>
      <c r="F209" s="2" t="e">
        <f>VLOOKUP($B209,'Schema Import'!$A$2:$C$183,3,FALSE)</f>
        <v>#N/A</v>
      </c>
      <c r="G209" s="2" t="s">
        <v>704</v>
      </c>
      <c r="H209" s="2" t="s">
        <v>951</v>
      </c>
      <c r="I209" s="5">
        <v>3</v>
      </c>
      <c r="J209" s="5">
        <f>COUNTIF(Table1[[#This Row],[Management Zone]:[AWS Credentials]],"*")</f>
        <v>1</v>
      </c>
      <c r="K209" s="5"/>
      <c r="L209" s="5"/>
      <c r="M209" s="5"/>
      <c r="N209" s="5"/>
      <c r="O209" s="5"/>
      <c r="P209" s="5" t="s">
        <v>709</v>
      </c>
      <c r="Q209" s="5"/>
      <c r="R209" s="5"/>
      <c r="S209" s="5"/>
      <c r="T209" s="5"/>
      <c r="U209" s="5"/>
      <c r="V209" s="5"/>
      <c r="W209" s="5"/>
      <c r="X209" s="5"/>
      <c r="Y209" s="5"/>
      <c r="Z209" s="3" t="s">
        <v>1010</v>
      </c>
      <c r="AA209"/>
      <c r="AC209"/>
      <c r="AE209"/>
      <c r="AG209"/>
      <c r="AJ209"/>
      <c r="AK209"/>
    </row>
    <row r="210" spans="1:37" x14ac:dyDescent="0.2">
      <c r="A210" s="2" t="s">
        <v>428</v>
      </c>
      <c r="B210" s="3" t="s">
        <v>594</v>
      </c>
      <c r="C210" s="2" t="s">
        <v>213</v>
      </c>
      <c r="D210" s="2" t="s">
        <v>1006</v>
      </c>
      <c r="E210" s="2" t="s">
        <v>474</v>
      </c>
      <c r="F210" s="2" t="e">
        <f>VLOOKUP($B210,'Schema Import'!$A$2:$C$183,3,FALSE)</f>
        <v>#N/A</v>
      </c>
      <c r="G210" s="2" t="s">
        <v>704</v>
      </c>
      <c r="H210" s="2" t="s">
        <v>951</v>
      </c>
      <c r="I210" s="5">
        <v>3</v>
      </c>
      <c r="J210" s="5">
        <f>COUNTIF(Table1[[#This Row],[Management Zone]:[AWS Credentials]],"*")</f>
        <v>1</v>
      </c>
      <c r="K210" s="5"/>
      <c r="L210" s="5"/>
      <c r="M210" s="5"/>
      <c r="N210" s="5"/>
      <c r="O210" s="5"/>
      <c r="P210" s="5" t="s">
        <v>709</v>
      </c>
      <c r="Q210" s="5"/>
      <c r="R210" s="5"/>
      <c r="S210" s="5"/>
      <c r="T210" s="5"/>
      <c r="U210" s="5"/>
      <c r="V210" s="5"/>
      <c r="W210" s="5"/>
      <c r="X210" s="5"/>
      <c r="Y210" s="5"/>
      <c r="Z210" s="3" t="s">
        <v>1010</v>
      </c>
      <c r="AA210"/>
      <c r="AC210"/>
      <c r="AE210"/>
      <c r="AG210"/>
      <c r="AJ210"/>
      <c r="AK210"/>
    </row>
    <row r="211" spans="1:37" x14ac:dyDescent="0.2">
      <c r="A211" s="2" t="s">
        <v>429</v>
      </c>
      <c r="B211" s="3" t="s">
        <v>595</v>
      </c>
      <c r="C211" s="2" t="s">
        <v>214</v>
      </c>
      <c r="D211" s="2" t="s">
        <v>1006</v>
      </c>
      <c r="E211" s="2" t="s">
        <v>474</v>
      </c>
      <c r="F211" s="2" t="e">
        <f>VLOOKUP($B211,'Schema Import'!$A$2:$C$183,3,FALSE)</f>
        <v>#N/A</v>
      </c>
      <c r="G211" s="2" t="s">
        <v>704</v>
      </c>
      <c r="H211" s="2" t="s">
        <v>951</v>
      </c>
      <c r="I211" s="5">
        <v>3</v>
      </c>
      <c r="J211" s="5">
        <f>COUNTIF(Table1[[#This Row],[Management Zone]:[AWS Credentials]],"*")</f>
        <v>1</v>
      </c>
      <c r="K211" s="5"/>
      <c r="L211" s="5"/>
      <c r="M211" s="5"/>
      <c r="N211" s="5"/>
      <c r="O211" s="5"/>
      <c r="P211" s="5" t="s">
        <v>709</v>
      </c>
      <c r="Q211" s="5"/>
      <c r="R211" s="5"/>
      <c r="S211" s="5"/>
      <c r="T211" s="5"/>
      <c r="U211" s="5"/>
      <c r="V211" s="5"/>
      <c r="W211" s="5"/>
      <c r="X211" s="5"/>
      <c r="Y211" s="5"/>
      <c r="Z211" s="3" t="s">
        <v>1010</v>
      </c>
      <c r="AA211"/>
      <c r="AC211"/>
      <c r="AE211"/>
      <c r="AG211"/>
      <c r="AJ211"/>
      <c r="AK211"/>
    </row>
    <row r="212" spans="1:37" x14ac:dyDescent="0.2">
      <c r="A212" s="2" t="s">
        <v>376</v>
      </c>
      <c r="B212" s="3" t="s">
        <v>596</v>
      </c>
      <c r="C212" s="2" t="s">
        <v>161</v>
      </c>
      <c r="D212" s="2" t="s">
        <v>1006</v>
      </c>
      <c r="E212" s="2" t="s">
        <v>438</v>
      </c>
      <c r="F212" s="2" t="str">
        <f>VLOOKUP($B212,'Schema Import'!$A$2:$C$183,3,FALSE)</f>
        <v>1.0.1</v>
      </c>
      <c r="G212" s="2" t="s">
        <v>704</v>
      </c>
      <c r="H212" s="2" t="s">
        <v>951</v>
      </c>
      <c r="I212" s="5">
        <v>3</v>
      </c>
      <c r="J212" s="5">
        <f>COUNTIF(Table1[[#This Row],[Management Zone]:[AWS Credentials]],"*")</f>
        <v>1</v>
      </c>
      <c r="K212" s="5"/>
      <c r="L212" s="5"/>
      <c r="M212" s="5"/>
      <c r="N212" s="5"/>
      <c r="O212" s="5"/>
      <c r="P212" s="5" t="s">
        <v>709</v>
      </c>
      <c r="Q212" s="5"/>
      <c r="R212" s="5"/>
      <c r="S212" s="5"/>
      <c r="T212" s="5"/>
      <c r="U212" s="5"/>
      <c r="V212" s="5"/>
      <c r="W212" s="5"/>
      <c r="X212" s="5"/>
      <c r="Y212" s="5"/>
      <c r="Z212" s="3" t="s">
        <v>1009</v>
      </c>
      <c r="AA212"/>
      <c r="AC212"/>
      <c r="AE212"/>
      <c r="AG212"/>
      <c r="AJ212"/>
      <c r="AK212"/>
    </row>
    <row r="213" spans="1:37" x14ac:dyDescent="0.2">
      <c r="A213" s="2" t="s">
        <v>314</v>
      </c>
      <c r="B213" s="3" t="s">
        <v>597</v>
      </c>
      <c r="C213" s="2" t="s">
        <v>100</v>
      </c>
      <c r="D213" s="2" t="s">
        <v>963</v>
      </c>
      <c r="E213" s="2" t="s">
        <v>463</v>
      </c>
      <c r="F213" s="2" t="str">
        <f>VLOOKUP($B213,'Schema Import'!$A$2:$C$183,3,FALSE)</f>
        <v>1.0.6</v>
      </c>
      <c r="G213" s="2" t="s">
        <v>704</v>
      </c>
      <c r="H213" s="2" t="s">
        <v>951</v>
      </c>
      <c r="I213" s="5">
        <v>1</v>
      </c>
      <c r="J213" s="5">
        <f>COUNTIF(Table1[[#This Row],[Management Zone]:[AWS Credentials]],"*")</f>
        <v>0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3"/>
      <c r="AA213"/>
      <c r="AC213"/>
      <c r="AE213"/>
      <c r="AG213"/>
      <c r="AJ213"/>
      <c r="AK213"/>
    </row>
    <row r="214" spans="1:37" x14ac:dyDescent="0.2">
      <c r="A214" s="2" t="s">
        <v>351</v>
      </c>
      <c r="B214" s="3" t="s">
        <v>598</v>
      </c>
      <c r="C214" s="2" t="s">
        <v>599</v>
      </c>
      <c r="D214" s="2" t="s">
        <v>963</v>
      </c>
      <c r="E214" s="3" t="s">
        <v>436</v>
      </c>
      <c r="F214" s="2" t="str">
        <f>VLOOKUP($B214,'Schema Import'!$A$2:$C$183,3,FALSE)</f>
        <v>1.0.2</v>
      </c>
      <c r="G214" s="2" t="s">
        <v>704</v>
      </c>
      <c r="H214" s="2" t="s">
        <v>951</v>
      </c>
      <c r="I214" s="5">
        <v>1</v>
      </c>
      <c r="J214" s="5">
        <f>COUNTIF(Table1[[#This Row],[Management Zone]:[AWS Credentials]],"*")</f>
        <v>0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3"/>
      <c r="AA214"/>
      <c r="AC214"/>
      <c r="AE214"/>
      <c r="AG214"/>
      <c r="AJ214"/>
      <c r="AK214"/>
    </row>
    <row r="215" spans="1:37" x14ac:dyDescent="0.2">
      <c r="A215" s="2" t="s">
        <v>224</v>
      </c>
      <c r="B215" s="3" t="s">
        <v>637</v>
      </c>
      <c r="C215" s="2" t="s">
        <v>10</v>
      </c>
      <c r="D215" s="2" t="s">
        <v>963</v>
      </c>
      <c r="E215" s="2" t="s">
        <v>708</v>
      </c>
      <c r="F215" s="2" t="e">
        <f>VLOOKUP($B215,'Schema Import'!$A$2:$C$183,3,FALSE)</f>
        <v>#N/A</v>
      </c>
      <c r="G215" s="3" t="s">
        <v>705</v>
      </c>
      <c r="H215" s="2" t="s">
        <v>956</v>
      </c>
      <c r="I215" s="5">
        <v>2</v>
      </c>
      <c r="J215" s="6">
        <f>COUNTIF(Table1[[#This Row],[Management Zone]:[AWS Credentials]],"*")</f>
        <v>1</v>
      </c>
      <c r="K215" s="6"/>
      <c r="L215" s="6"/>
      <c r="M215" s="6" t="s">
        <v>709</v>
      </c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3"/>
      <c r="AA215"/>
      <c r="AC215"/>
      <c r="AE215"/>
      <c r="AG215"/>
      <c r="AJ215"/>
      <c r="AK215"/>
    </row>
    <row r="216" spans="1:37" x14ac:dyDescent="0.2">
      <c r="A216" s="2" t="s">
        <v>236</v>
      </c>
      <c r="B216" s="3" t="s">
        <v>685</v>
      </c>
      <c r="C216" s="2" t="s">
        <v>22</v>
      </c>
      <c r="D216" s="2" t="s">
        <v>963</v>
      </c>
      <c r="E216" s="2" t="s">
        <v>686</v>
      </c>
      <c r="F216" s="2" t="str">
        <f>VLOOKUP($B216,'Schema Import'!$A$2:$C$183,3,FALSE)</f>
        <v>1.4.8</v>
      </c>
      <c r="G216" s="2" t="s">
        <v>704</v>
      </c>
      <c r="H216" s="2" t="s">
        <v>951</v>
      </c>
      <c r="I216" s="5">
        <v>3</v>
      </c>
      <c r="J216" s="5">
        <f>COUNTIF(Table1[[#This Row],[Management Zone]:[AWS Credentials]],"*")</f>
        <v>1</v>
      </c>
      <c r="K216" s="5"/>
      <c r="L216" s="5" t="s">
        <v>709</v>
      </c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2" t="s">
        <v>1002</v>
      </c>
      <c r="AA216"/>
      <c r="AC216"/>
      <c r="AE216"/>
      <c r="AG216"/>
      <c r="AJ216"/>
      <c r="AK216"/>
    </row>
    <row r="217" spans="1:37" x14ac:dyDescent="0.2">
      <c r="A217" s="2" t="s">
        <v>245</v>
      </c>
      <c r="B217" s="3" t="s">
        <v>685</v>
      </c>
      <c r="C217" s="2" t="s">
        <v>31</v>
      </c>
      <c r="D217" s="2" t="s">
        <v>963</v>
      </c>
      <c r="E217" s="2" t="s">
        <v>686</v>
      </c>
      <c r="F217" s="2" t="str">
        <f>VLOOKUP($B217,'Schema Import'!$A$2:$C$183,3,FALSE)</f>
        <v>1.4.8</v>
      </c>
      <c r="G217" s="2" t="s">
        <v>704</v>
      </c>
      <c r="H217" s="2" t="s">
        <v>951</v>
      </c>
      <c r="I217" s="5">
        <v>3</v>
      </c>
      <c r="J217" s="5">
        <f>COUNTIF(Table1[[#This Row],[Management Zone]:[AWS Credentials]],"*")</f>
        <v>1</v>
      </c>
      <c r="K217" s="5"/>
      <c r="L217" s="5" t="s">
        <v>709</v>
      </c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2" t="s">
        <v>1002</v>
      </c>
      <c r="AA217"/>
      <c r="AC217"/>
      <c r="AE217"/>
      <c r="AG217"/>
      <c r="AJ217"/>
      <c r="AK217"/>
    </row>
    <row r="219" spans="1:37" x14ac:dyDescent="0.2">
      <c r="A219" s="1" t="s">
        <v>965</v>
      </c>
    </row>
  </sheetData>
  <phoneticPr fontId="2" type="noConversion"/>
  <conditionalFormatting sqref="E2:E1048576">
    <cfRule type="containsText" dxfId="6" priority="5" stopIfTrue="1" operator="containsText" text="N/A">
      <formula>NOT(ISERROR(SEARCH("N/A",E2)))</formula>
    </cfRule>
    <cfRule type="expression" dxfId="5" priority="6" stopIfTrue="1">
      <formula>AND(TRIM(E2)=TRIM(F2),E2&lt;&gt;"")</formula>
    </cfRule>
    <cfRule type="expression" dxfId="4" priority="7" stopIfTrue="1">
      <formula>NOT(TRIM(E2)=TRIM(F2))</formula>
    </cfRule>
  </conditionalFormatting>
  <conditionalFormatting sqref="D2:D1048576">
    <cfRule type="containsText" dxfId="3" priority="1" stopIfTrue="1" operator="containsText" text="Not Ready">
      <formula>NOT(ISERROR(SEARCH("Not Ready",D2)))</formula>
    </cfRule>
    <cfRule type="containsText" dxfId="2" priority="3" operator="containsText" text="Active">
      <formula>NOT(ISERROR(SEARCH("Active",D2)))</formula>
    </cfRule>
    <cfRule type="containsText" dxfId="1" priority="4" operator="containsText" text="Deprecated">
      <formula>NOT(ISERROR(SEARCH("Deprecated",D2)))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6DD3D-CC4B-B144-BD4B-B64330A56AAA}">
  <sheetPr codeName="Sheet2"/>
  <dimension ref="A1:X186"/>
  <sheetViews>
    <sheetView tabSelected="1" zoomScaleNormal="100" workbookViewId="0"/>
  </sheetViews>
  <sheetFormatPr baseColWidth="10" defaultRowHeight="15" x14ac:dyDescent="0.2"/>
  <cols>
    <col min="1" max="1" width="6" customWidth="1"/>
    <col min="2" max="2" width="6" hidden="1" customWidth="1"/>
    <col min="3" max="3" width="16.33203125" style="14" customWidth="1"/>
    <col min="4" max="4" width="6" style="7" bestFit="1" customWidth="1"/>
    <col min="5" max="5" width="39" bestFit="1" customWidth="1"/>
    <col min="6" max="6" width="13.1640625" bestFit="1" customWidth="1"/>
    <col min="7" max="7" width="6" bestFit="1" customWidth="1"/>
    <col min="8" max="8" width="6" style="7" bestFit="1" customWidth="1"/>
    <col min="9" max="22" width="6" bestFit="1" customWidth="1"/>
    <col min="23" max="24" width="34.33203125" bestFit="1" customWidth="1"/>
    <col min="25" max="25" width="6" customWidth="1"/>
    <col min="26" max="26" width="82.6640625" customWidth="1"/>
    <col min="27" max="27" width="10.83203125" customWidth="1"/>
  </cols>
  <sheetData>
    <row r="1" spans="1:24" ht="145" x14ac:dyDescent="0.2">
      <c r="A1" s="4" t="s">
        <v>967</v>
      </c>
      <c r="B1" s="4" t="s">
        <v>969</v>
      </c>
      <c r="C1" s="1" t="s">
        <v>968</v>
      </c>
      <c r="D1" s="4" t="s">
        <v>966</v>
      </c>
      <c r="E1" t="s">
        <v>546</v>
      </c>
      <c r="F1" t="s">
        <v>703</v>
      </c>
      <c r="G1" s="4" t="s">
        <v>722</v>
      </c>
      <c r="H1" s="4" t="s">
        <v>711</v>
      </c>
      <c r="I1" s="4" t="s">
        <v>32</v>
      </c>
      <c r="J1" s="4" t="s">
        <v>710</v>
      </c>
      <c r="K1" s="4" t="s">
        <v>712</v>
      </c>
      <c r="L1" s="4" t="s">
        <v>14</v>
      </c>
      <c r="M1" s="4" t="s">
        <v>713</v>
      </c>
      <c r="N1" s="4" t="s">
        <v>714</v>
      </c>
      <c r="O1" s="4" t="s">
        <v>715</v>
      </c>
      <c r="P1" s="4" t="s">
        <v>716</v>
      </c>
      <c r="Q1" s="4" t="s">
        <v>717</v>
      </c>
      <c r="R1" s="4" t="s">
        <v>718</v>
      </c>
      <c r="S1" s="4" t="s">
        <v>719</v>
      </c>
      <c r="T1" s="4" t="s">
        <v>720</v>
      </c>
      <c r="U1" s="4" t="s">
        <v>46</v>
      </c>
      <c r="V1" s="4" t="s">
        <v>721</v>
      </c>
      <c r="W1" t="s">
        <v>970</v>
      </c>
      <c r="X1" t="s">
        <v>673</v>
      </c>
    </row>
    <row r="2" spans="1:24" x14ac:dyDescent="0.2">
      <c r="B2" t="b">
        <v>0</v>
      </c>
      <c r="C2" s="14" t="str" cm="1">
        <f t="array" ref="C2">IF(B2=TRUE,NowStatic(),"")</f>
        <v/>
      </c>
      <c r="D2" s="7">
        <f>Info!I2</f>
        <v>1</v>
      </c>
      <c r="E2" t="str">
        <f>Info!A2</f>
        <v>dynatrace_activegate_token</v>
      </c>
      <c r="F2" t="str">
        <f>Info!G2</f>
        <v>Settings 2.0</v>
      </c>
      <c r="G2" s="7">
        <f>Info!J2</f>
        <v>0</v>
      </c>
      <c r="H2" s="13">
        <f>Info!K2</f>
        <v>0</v>
      </c>
      <c r="I2" s="13">
        <f>Info!L2</f>
        <v>0</v>
      </c>
      <c r="J2" s="13">
        <f>Info!M2</f>
        <v>0</v>
      </c>
      <c r="K2" s="13">
        <f>Info!N2</f>
        <v>0</v>
      </c>
      <c r="L2" s="13">
        <f>Info!O2</f>
        <v>0</v>
      </c>
      <c r="M2" s="13">
        <f>Info!P2</f>
        <v>0</v>
      </c>
      <c r="N2" s="13">
        <f>Info!Q2</f>
        <v>0</v>
      </c>
      <c r="O2" s="13">
        <f>Info!R2</f>
        <v>0</v>
      </c>
      <c r="P2" s="13">
        <f>Info!S2</f>
        <v>0</v>
      </c>
      <c r="Q2" s="13">
        <f>Info!T2</f>
        <v>0</v>
      </c>
      <c r="R2" s="13">
        <f>Info!U2</f>
        <v>0</v>
      </c>
      <c r="S2" s="13">
        <f>Info!V2</f>
        <v>0</v>
      </c>
      <c r="T2" s="13">
        <f>Info!W2</f>
        <v>0</v>
      </c>
      <c r="U2" s="13">
        <f>Info!X2</f>
        <v>0</v>
      </c>
      <c r="V2" s="13">
        <f>Info!Y2</f>
        <v>0</v>
      </c>
      <c r="W2" t="str">
        <f>Info!H2</f>
        <v>settings.read, settings.write</v>
      </c>
      <c r="X2" s="12"/>
    </row>
    <row r="3" spans="1:24" x14ac:dyDescent="0.2">
      <c r="B3" t="b">
        <v>0</v>
      </c>
      <c r="C3" s="14" t="str" cm="1">
        <f t="array" ref="C3">IF(B3=TRUE,NowStatic(),"")</f>
        <v/>
      </c>
      <c r="D3" s="7">
        <f>Info!I3</f>
        <v>1</v>
      </c>
      <c r="E3" t="str">
        <f>Info!A3</f>
        <v>dynatrace_activegate_updates</v>
      </c>
      <c r="F3" t="str">
        <f>Info!G3</f>
        <v>Settings 2.0</v>
      </c>
      <c r="G3" s="7">
        <f>Info!J3</f>
        <v>0</v>
      </c>
      <c r="H3" s="13">
        <f>Info!K3</f>
        <v>0</v>
      </c>
      <c r="I3" s="13">
        <f>Info!L3</f>
        <v>0</v>
      </c>
      <c r="J3" s="13">
        <f>Info!M3</f>
        <v>0</v>
      </c>
      <c r="K3" s="13">
        <f>Info!N3</f>
        <v>0</v>
      </c>
      <c r="L3" s="13">
        <f>Info!O3</f>
        <v>0</v>
      </c>
      <c r="M3" s="13">
        <f>Info!P3</f>
        <v>0</v>
      </c>
      <c r="N3" s="13">
        <f>Info!Q3</f>
        <v>0</v>
      </c>
      <c r="O3" s="13">
        <f>Info!R3</f>
        <v>0</v>
      </c>
      <c r="P3" s="13">
        <f>Info!S3</f>
        <v>0</v>
      </c>
      <c r="Q3" s="13">
        <f>Info!T3</f>
        <v>0</v>
      </c>
      <c r="R3" s="13">
        <f>Info!U3</f>
        <v>0</v>
      </c>
      <c r="S3" s="13">
        <f>Info!V3</f>
        <v>0</v>
      </c>
      <c r="T3" s="13">
        <f>Info!W3</f>
        <v>0</v>
      </c>
      <c r="U3" s="13">
        <f>Info!X3</f>
        <v>0</v>
      </c>
      <c r="V3" s="13">
        <f>Info!Y3</f>
        <v>0</v>
      </c>
      <c r="W3" t="str">
        <f>Info!H3</f>
        <v>settings.read, settings.write</v>
      </c>
      <c r="X3" s="12"/>
    </row>
    <row r="4" spans="1:24" x14ac:dyDescent="0.2">
      <c r="B4" t="b">
        <v>0</v>
      </c>
      <c r="C4" s="14" t="str" cm="1">
        <f t="array" ref="C4">IF(B4=TRUE,NowStatic(),"")</f>
        <v/>
      </c>
      <c r="D4" s="7">
        <f>Info!I4</f>
        <v>1</v>
      </c>
      <c r="E4" t="str">
        <f>Info!A4</f>
        <v>dynatrace_aix_extension</v>
      </c>
      <c r="F4" t="str">
        <f>Info!G4</f>
        <v>Settings 2.0</v>
      </c>
      <c r="G4" s="7">
        <f>Info!J4</f>
        <v>0</v>
      </c>
      <c r="H4" s="13">
        <f>Info!K4</f>
        <v>0</v>
      </c>
      <c r="I4" s="13">
        <f>Info!L4</f>
        <v>0</v>
      </c>
      <c r="J4" s="13">
        <f>Info!M4</f>
        <v>0</v>
      </c>
      <c r="K4" s="13">
        <f>Info!N4</f>
        <v>0</v>
      </c>
      <c r="L4" s="13">
        <f>Info!O4</f>
        <v>0</v>
      </c>
      <c r="M4" s="13">
        <f>Info!P4</f>
        <v>0</v>
      </c>
      <c r="N4" s="13">
        <f>Info!Q4</f>
        <v>0</v>
      </c>
      <c r="O4" s="13">
        <f>Info!R4</f>
        <v>0</v>
      </c>
      <c r="P4" s="13">
        <f>Info!S4</f>
        <v>0</v>
      </c>
      <c r="Q4" s="13">
        <f>Info!T4</f>
        <v>0</v>
      </c>
      <c r="R4" s="13">
        <f>Info!U4</f>
        <v>0</v>
      </c>
      <c r="S4" s="13">
        <f>Info!V4</f>
        <v>0</v>
      </c>
      <c r="T4" s="13">
        <f>Info!W4</f>
        <v>0</v>
      </c>
      <c r="U4" s="13">
        <f>Info!X4</f>
        <v>0</v>
      </c>
      <c r="V4" s="13">
        <f>Info!Y4</f>
        <v>0</v>
      </c>
      <c r="W4" t="str">
        <f>Info!H4</f>
        <v>settings.read, settings.write</v>
      </c>
      <c r="X4" s="12"/>
    </row>
    <row r="5" spans="1:24" x14ac:dyDescent="0.2">
      <c r="B5" t="b">
        <v>0</v>
      </c>
      <c r="C5" s="14" t="str" cm="1">
        <f t="array" ref="C5">IF(B5=TRUE,NowStatic(),"")</f>
        <v/>
      </c>
      <c r="D5" s="7">
        <f>Info!I8</f>
        <v>1</v>
      </c>
      <c r="E5" t="str">
        <f>Info!A8</f>
        <v>dynatrace_api_detection</v>
      </c>
      <c r="F5" t="str">
        <f>Info!G8</f>
        <v>Settings 2.0</v>
      </c>
      <c r="G5" s="7">
        <f>Info!J8</f>
        <v>0</v>
      </c>
      <c r="H5" s="13">
        <f>Info!K8</f>
        <v>0</v>
      </c>
      <c r="I5" s="13">
        <f>Info!L8</f>
        <v>0</v>
      </c>
      <c r="J5" s="13">
        <f>Info!M8</f>
        <v>0</v>
      </c>
      <c r="K5" s="13">
        <f>Info!N8</f>
        <v>0</v>
      </c>
      <c r="L5" s="13">
        <f>Info!O8</f>
        <v>0</v>
      </c>
      <c r="M5" s="13">
        <f>Info!P8</f>
        <v>0</v>
      </c>
      <c r="N5" s="13">
        <f>Info!Q8</f>
        <v>0</v>
      </c>
      <c r="O5" s="13">
        <f>Info!R8</f>
        <v>0</v>
      </c>
      <c r="P5" s="13">
        <f>Info!S8</f>
        <v>0</v>
      </c>
      <c r="Q5" s="13">
        <f>Info!T8</f>
        <v>0</v>
      </c>
      <c r="R5" s="13">
        <f>Info!U8</f>
        <v>0</v>
      </c>
      <c r="S5" s="13">
        <f>Info!V8</f>
        <v>0</v>
      </c>
      <c r="T5" s="13">
        <f>Info!W8</f>
        <v>0</v>
      </c>
      <c r="U5" s="13">
        <f>Info!X8</f>
        <v>0</v>
      </c>
      <c r="V5" s="13">
        <f>Info!Y8</f>
        <v>0</v>
      </c>
      <c r="W5" t="str">
        <f>Info!H8</f>
        <v>settings.read, settings.write</v>
      </c>
      <c r="X5" s="12"/>
    </row>
    <row r="6" spans="1:24" x14ac:dyDescent="0.2">
      <c r="B6" t="b">
        <v>0</v>
      </c>
      <c r="C6" s="14" t="str" cm="1">
        <f t="array" ref="C6">IF(B6=TRUE,NowStatic(),"")</f>
        <v/>
      </c>
      <c r="D6" s="7">
        <f>Info!I14</f>
        <v>1</v>
      </c>
      <c r="E6" t="str">
        <f>Info!A14</f>
        <v>dynatrace_audit_log</v>
      </c>
      <c r="F6" t="str">
        <f>Info!G14</f>
        <v>Settings 2.0</v>
      </c>
      <c r="G6" s="7">
        <f>Info!J14</f>
        <v>0</v>
      </c>
      <c r="H6" s="13">
        <f>Info!K14</f>
        <v>0</v>
      </c>
      <c r="I6" s="13">
        <f>Info!L14</f>
        <v>0</v>
      </c>
      <c r="J6" s="13">
        <f>Info!M14</f>
        <v>0</v>
      </c>
      <c r="K6" s="13">
        <f>Info!N14</f>
        <v>0</v>
      </c>
      <c r="L6" s="13">
        <f>Info!O14</f>
        <v>0</v>
      </c>
      <c r="M6" s="13">
        <f>Info!P14</f>
        <v>0</v>
      </c>
      <c r="N6" s="13">
        <f>Info!Q14</f>
        <v>0</v>
      </c>
      <c r="O6" s="13">
        <f>Info!R14</f>
        <v>0</v>
      </c>
      <c r="P6" s="13">
        <f>Info!S14</f>
        <v>0</v>
      </c>
      <c r="Q6" s="13">
        <f>Info!T14</f>
        <v>0</v>
      </c>
      <c r="R6" s="13">
        <f>Info!U14</f>
        <v>0</v>
      </c>
      <c r="S6" s="13">
        <f>Info!V14</f>
        <v>0</v>
      </c>
      <c r="T6" s="13">
        <f>Info!W14</f>
        <v>0</v>
      </c>
      <c r="U6" s="13">
        <f>Info!X14</f>
        <v>0</v>
      </c>
      <c r="V6" s="13">
        <f>Info!Y14</f>
        <v>0</v>
      </c>
      <c r="W6" t="str">
        <f>Info!H14</f>
        <v>settings.read, settings.write</v>
      </c>
      <c r="X6" s="12"/>
    </row>
    <row r="7" spans="1:24" x14ac:dyDescent="0.2">
      <c r="B7" t="b">
        <v>0</v>
      </c>
      <c r="C7" s="14" t="str" cm="1">
        <f t="array" ref="C7">IF(B7=TRUE,NowStatic(),"")</f>
        <v/>
      </c>
      <c r="D7" s="7">
        <f>Info!I16</f>
        <v>1</v>
      </c>
      <c r="E7" t="str">
        <f>Info!A16</f>
        <v>dynatrace_autotag_v2</v>
      </c>
      <c r="F7" t="str">
        <f>Info!G16</f>
        <v>Settings 2.0</v>
      </c>
      <c r="G7" s="7">
        <f>Info!J16</f>
        <v>0</v>
      </c>
      <c r="H7" s="13">
        <f>Info!K16</f>
        <v>0</v>
      </c>
      <c r="I7" s="13">
        <f>Info!L16</f>
        <v>0</v>
      </c>
      <c r="J7" s="13">
        <f>Info!M16</f>
        <v>0</v>
      </c>
      <c r="K7" s="13">
        <f>Info!N16</f>
        <v>0</v>
      </c>
      <c r="L7" s="13">
        <f>Info!O16</f>
        <v>0</v>
      </c>
      <c r="M7" s="13">
        <f>Info!P16</f>
        <v>0</v>
      </c>
      <c r="N7" s="13">
        <f>Info!Q16</f>
        <v>0</v>
      </c>
      <c r="O7" s="13">
        <f>Info!R16</f>
        <v>0</v>
      </c>
      <c r="P7" s="13">
        <f>Info!S16</f>
        <v>0</v>
      </c>
      <c r="Q7" s="13">
        <f>Info!T16</f>
        <v>0</v>
      </c>
      <c r="R7" s="13">
        <f>Info!U16</f>
        <v>0</v>
      </c>
      <c r="S7" s="13">
        <f>Info!V16</f>
        <v>0</v>
      </c>
      <c r="T7" s="13">
        <f>Info!W16</f>
        <v>0</v>
      </c>
      <c r="U7" s="13">
        <f>Info!X16</f>
        <v>0</v>
      </c>
      <c r="V7" s="13">
        <f>Info!Y16</f>
        <v>0</v>
      </c>
      <c r="W7" t="str">
        <f>Info!H16</f>
        <v>settings.read, settings.write</v>
      </c>
      <c r="X7" s="12"/>
    </row>
    <row r="8" spans="1:24" x14ac:dyDescent="0.2">
      <c r="B8" t="b">
        <v>0</v>
      </c>
      <c r="C8" s="14" t="str" cm="1">
        <f t="array" ref="C8">IF(B8=TRUE,NowStatic(),"")</f>
        <v/>
      </c>
      <c r="D8" s="7">
        <f>Info!I17</f>
        <v>1</v>
      </c>
      <c r="E8" t="str">
        <f>Info!A17</f>
        <v>dynatrace_aws_anomalies</v>
      </c>
      <c r="F8" t="str">
        <f>Info!G17</f>
        <v>Settings 2.0</v>
      </c>
      <c r="G8" s="7">
        <f>Info!J17</f>
        <v>0</v>
      </c>
      <c r="H8" s="13">
        <f>Info!K17</f>
        <v>0</v>
      </c>
      <c r="I8" s="13">
        <f>Info!L17</f>
        <v>0</v>
      </c>
      <c r="J8" s="13">
        <f>Info!M17</f>
        <v>0</v>
      </c>
      <c r="K8" s="13">
        <f>Info!N17</f>
        <v>0</v>
      </c>
      <c r="L8" s="13">
        <f>Info!O17</f>
        <v>0</v>
      </c>
      <c r="M8" s="13">
        <f>Info!P17</f>
        <v>0</v>
      </c>
      <c r="N8" s="13">
        <f>Info!Q17</f>
        <v>0</v>
      </c>
      <c r="O8" s="13">
        <f>Info!R17</f>
        <v>0</v>
      </c>
      <c r="P8" s="13">
        <f>Info!S17</f>
        <v>0</v>
      </c>
      <c r="Q8" s="13">
        <f>Info!T17</f>
        <v>0</v>
      </c>
      <c r="R8" s="13">
        <f>Info!U17</f>
        <v>0</v>
      </c>
      <c r="S8" s="13">
        <f>Info!V17</f>
        <v>0</v>
      </c>
      <c r="T8" s="13">
        <f>Info!W17</f>
        <v>0</v>
      </c>
      <c r="U8" s="13">
        <f>Info!X17</f>
        <v>0</v>
      </c>
      <c r="V8" s="13">
        <f>Info!Y17</f>
        <v>0</v>
      </c>
      <c r="W8" t="str">
        <f>Info!H17</f>
        <v>settings.read, settings.write</v>
      </c>
      <c r="X8" s="12"/>
    </row>
    <row r="9" spans="1:24" x14ac:dyDescent="0.2">
      <c r="B9" t="b">
        <v>0</v>
      </c>
      <c r="C9" s="14" t="str" cm="1">
        <f t="array" ref="C9">IF(B9=TRUE,NowStatic(),"")</f>
        <v/>
      </c>
      <c r="D9" s="7">
        <f>Info!I18</f>
        <v>1</v>
      </c>
      <c r="E9" t="str">
        <f>Info!A18</f>
        <v>dynatrace_aws_credentials</v>
      </c>
      <c r="F9" t="str">
        <f>Info!G18</f>
        <v>Config</v>
      </c>
      <c r="G9" s="7">
        <f>Info!J18</f>
        <v>1</v>
      </c>
      <c r="H9" s="13">
        <f>Info!K18</f>
        <v>0</v>
      </c>
      <c r="I9" s="13">
        <f>Info!L18</f>
        <v>0</v>
      </c>
      <c r="J9" s="13">
        <f>Info!M18</f>
        <v>0</v>
      </c>
      <c r="K9" s="13">
        <f>Info!N18</f>
        <v>0</v>
      </c>
      <c r="L9" s="13">
        <f>Info!O18</f>
        <v>0</v>
      </c>
      <c r="M9" s="13">
        <f>Info!P18</f>
        <v>0</v>
      </c>
      <c r="N9" s="13">
        <f>Info!Q18</f>
        <v>0</v>
      </c>
      <c r="O9" s="13">
        <f>Info!R18</f>
        <v>0</v>
      </c>
      <c r="P9" s="13">
        <f>Info!S18</f>
        <v>0</v>
      </c>
      <c r="Q9" s="13">
        <f>Info!T18</f>
        <v>0</v>
      </c>
      <c r="R9" s="13">
        <f>Info!U18</f>
        <v>0</v>
      </c>
      <c r="S9" s="13">
        <f>Info!V18</f>
        <v>0</v>
      </c>
      <c r="T9" s="13">
        <f>Info!W18</f>
        <v>0</v>
      </c>
      <c r="U9" s="13">
        <f>Info!X18</f>
        <v>0</v>
      </c>
      <c r="V9" s="13" t="str">
        <f>Info!Y18</f>
        <v>X</v>
      </c>
      <c r="W9" t="str">
        <f>Info!H18</f>
        <v>ReadConfig, WriteConfig</v>
      </c>
      <c r="X9" s="12"/>
    </row>
    <row r="10" spans="1:24" x14ac:dyDescent="0.2">
      <c r="B10" t="b">
        <v>0</v>
      </c>
      <c r="C10" s="14" t="str" cm="1">
        <f t="array" ref="C10">IF(B10=TRUE,NowStatic(),"")</f>
        <v/>
      </c>
      <c r="D10" s="7">
        <f>Info!I19</f>
        <v>1</v>
      </c>
      <c r="E10" t="str">
        <f>Info!A19</f>
        <v>dynatrace_azure_credentials</v>
      </c>
      <c r="F10" t="str">
        <f>Info!G19</f>
        <v>Config</v>
      </c>
      <c r="G10" s="7">
        <f>Info!J19</f>
        <v>0</v>
      </c>
      <c r="H10" s="13">
        <f>Info!K19</f>
        <v>0</v>
      </c>
      <c r="I10" s="13">
        <f>Info!L19</f>
        <v>0</v>
      </c>
      <c r="J10" s="13">
        <f>Info!M19</f>
        <v>0</v>
      </c>
      <c r="K10" s="13">
        <f>Info!N19</f>
        <v>0</v>
      </c>
      <c r="L10" s="13">
        <f>Info!O19</f>
        <v>0</v>
      </c>
      <c r="M10" s="13">
        <f>Info!P19</f>
        <v>0</v>
      </c>
      <c r="N10" s="13">
        <f>Info!Q19</f>
        <v>0</v>
      </c>
      <c r="O10" s="13">
        <f>Info!R19</f>
        <v>0</v>
      </c>
      <c r="P10" s="13">
        <f>Info!S19</f>
        <v>0</v>
      </c>
      <c r="Q10" s="13">
        <f>Info!T19</f>
        <v>0</v>
      </c>
      <c r="R10" s="13">
        <f>Info!U19</f>
        <v>0</v>
      </c>
      <c r="S10" s="13">
        <f>Info!V19</f>
        <v>0</v>
      </c>
      <c r="T10" s="13">
        <f>Info!W19</f>
        <v>0</v>
      </c>
      <c r="U10" s="13">
        <f>Info!X19</f>
        <v>0</v>
      </c>
      <c r="V10" s="13">
        <f>Info!Y19</f>
        <v>0</v>
      </c>
      <c r="W10" t="str">
        <f>Info!H19</f>
        <v>ReadConfig, WriteConfig</v>
      </c>
      <c r="X10" s="12"/>
    </row>
    <row r="11" spans="1:24" x14ac:dyDescent="0.2">
      <c r="B11" t="b">
        <v>0</v>
      </c>
      <c r="C11" s="14" t="str" cm="1">
        <f t="array" ref="C11">IF(B11=TRUE,NowStatic(),"")</f>
        <v/>
      </c>
      <c r="D11" s="7">
        <f>Info!I23</f>
        <v>1</v>
      </c>
      <c r="E11" t="str">
        <f>Info!A23</f>
        <v>dynatrace_business_events_buckets</v>
      </c>
      <c r="F11" t="str">
        <f>Info!G23</f>
        <v>Settings 2.0</v>
      </c>
      <c r="G11" s="7">
        <f>Info!J23</f>
        <v>0</v>
      </c>
      <c r="H11" s="13">
        <f>Info!K23</f>
        <v>0</v>
      </c>
      <c r="I11" s="13">
        <f>Info!L23</f>
        <v>0</v>
      </c>
      <c r="J11" s="13">
        <f>Info!M23</f>
        <v>0</v>
      </c>
      <c r="K11" s="13">
        <f>Info!N23</f>
        <v>0</v>
      </c>
      <c r="L11" s="13">
        <f>Info!O23</f>
        <v>0</v>
      </c>
      <c r="M11" s="13">
        <f>Info!P23</f>
        <v>0</v>
      </c>
      <c r="N11" s="13">
        <f>Info!Q23</f>
        <v>0</v>
      </c>
      <c r="O11" s="13">
        <f>Info!R23</f>
        <v>0</v>
      </c>
      <c r="P11" s="13">
        <f>Info!S23</f>
        <v>0</v>
      </c>
      <c r="Q11" s="13">
        <f>Info!T23</f>
        <v>0</v>
      </c>
      <c r="R11" s="13">
        <f>Info!U23</f>
        <v>0</v>
      </c>
      <c r="S11" s="13">
        <f>Info!V23</f>
        <v>0</v>
      </c>
      <c r="T11" s="13">
        <f>Info!W23</f>
        <v>0</v>
      </c>
      <c r="U11" s="13">
        <f>Info!X23</f>
        <v>0</v>
      </c>
      <c r="V11" s="13">
        <f>Info!Y23</f>
        <v>0</v>
      </c>
      <c r="W11" t="str">
        <f>Info!H23</f>
        <v>settings.read, settings.write</v>
      </c>
      <c r="X11" s="12"/>
    </row>
    <row r="12" spans="1:24" x14ac:dyDescent="0.2">
      <c r="B12" t="b">
        <v>0</v>
      </c>
      <c r="C12" s="14" t="str" cm="1">
        <f t="array" ref="C12">IF(B12=TRUE,NowStatic(),"")</f>
        <v/>
      </c>
      <c r="D12" s="7">
        <f>Info!I24</f>
        <v>1</v>
      </c>
      <c r="E12" t="str">
        <f>Info!A24</f>
        <v>dynatrace_business_events_metrics</v>
      </c>
      <c r="F12" t="str">
        <f>Info!G24</f>
        <v>Settings 2.0</v>
      </c>
      <c r="G12" s="7">
        <f>Info!J24</f>
        <v>0</v>
      </c>
      <c r="H12" s="13">
        <f>Info!K24</f>
        <v>0</v>
      </c>
      <c r="I12" s="13">
        <f>Info!L24</f>
        <v>0</v>
      </c>
      <c r="J12" s="13">
        <f>Info!M24</f>
        <v>0</v>
      </c>
      <c r="K12" s="13">
        <f>Info!N24</f>
        <v>0</v>
      </c>
      <c r="L12" s="13">
        <f>Info!O24</f>
        <v>0</v>
      </c>
      <c r="M12" s="13">
        <f>Info!P24</f>
        <v>0</v>
      </c>
      <c r="N12" s="13">
        <f>Info!Q24</f>
        <v>0</v>
      </c>
      <c r="O12" s="13">
        <f>Info!R24</f>
        <v>0</v>
      </c>
      <c r="P12" s="13">
        <f>Info!S24</f>
        <v>0</v>
      </c>
      <c r="Q12" s="13">
        <f>Info!T24</f>
        <v>0</v>
      </c>
      <c r="R12" s="13">
        <f>Info!U24</f>
        <v>0</v>
      </c>
      <c r="S12" s="13">
        <f>Info!V24</f>
        <v>0</v>
      </c>
      <c r="T12" s="13">
        <f>Info!W24</f>
        <v>0</v>
      </c>
      <c r="U12" s="13">
        <f>Info!X24</f>
        <v>0</v>
      </c>
      <c r="V12" s="13">
        <f>Info!Y24</f>
        <v>0</v>
      </c>
      <c r="W12" t="str">
        <f>Info!H24</f>
        <v>settings.read, settings.write</v>
      </c>
      <c r="X12" s="12"/>
    </row>
    <row r="13" spans="1:24" x14ac:dyDescent="0.2">
      <c r="B13" t="b">
        <v>0</v>
      </c>
      <c r="C13" s="14" t="str" cm="1">
        <f t="array" ref="C13">IF(B13=TRUE,NowStatic(),"")</f>
        <v/>
      </c>
      <c r="D13" s="7">
        <f>Info!I25</f>
        <v>1</v>
      </c>
      <c r="E13" t="str">
        <f>Info!A25</f>
        <v>dynatrace_business_events_oneagent</v>
      </c>
      <c r="F13" t="str">
        <f>Info!G25</f>
        <v>Settings 2.0</v>
      </c>
      <c r="G13" s="7">
        <f>Info!J25</f>
        <v>0</v>
      </c>
      <c r="H13" s="13">
        <f>Info!K25</f>
        <v>0</v>
      </c>
      <c r="I13" s="13">
        <f>Info!L25</f>
        <v>0</v>
      </c>
      <c r="J13" s="13">
        <f>Info!M25</f>
        <v>0</v>
      </c>
      <c r="K13" s="13">
        <f>Info!N25</f>
        <v>0</v>
      </c>
      <c r="L13" s="13">
        <f>Info!O25</f>
        <v>0</v>
      </c>
      <c r="M13" s="13">
        <f>Info!P25</f>
        <v>0</v>
      </c>
      <c r="N13" s="13">
        <f>Info!Q25</f>
        <v>0</v>
      </c>
      <c r="O13" s="13">
        <f>Info!R25</f>
        <v>0</v>
      </c>
      <c r="P13" s="13">
        <f>Info!S25</f>
        <v>0</v>
      </c>
      <c r="Q13" s="13">
        <f>Info!T25</f>
        <v>0</v>
      </c>
      <c r="R13" s="13">
        <f>Info!U25</f>
        <v>0</v>
      </c>
      <c r="S13" s="13">
        <f>Info!V25</f>
        <v>0</v>
      </c>
      <c r="T13" s="13">
        <f>Info!W25</f>
        <v>0</v>
      </c>
      <c r="U13" s="13">
        <f>Info!X25</f>
        <v>0</v>
      </c>
      <c r="V13" s="13">
        <f>Info!Y25</f>
        <v>0</v>
      </c>
      <c r="W13" t="str">
        <f>Info!H25</f>
        <v>settings.read, settings.write</v>
      </c>
      <c r="X13" s="12"/>
    </row>
    <row r="14" spans="1:24" x14ac:dyDescent="0.2">
      <c r="B14" t="b">
        <v>0</v>
      </c>
      <c r="C14" s="14" t="str" cm="1">
        <f t="array" ref="C14">IF(B14=TRUE,NowStatic(),"")</f>
        <v/>
      </c>
      <c r="D14" s="7">
        <f>Info!I26</f>
        <v>1</v>
      </c>
      <c r="E14" t="str">
        <f>Info!A26</f>
        <v>dynatrace_business_events_processing</v>
      </c>
      <c r="F14" t="str">
        <f>Info!G26</f>
        <v>Settings 2.0</v>
      </c>
      <c r="G14" s="7">
        <f>Info!J26</f>
        <v>0</v>
      </c>
      <c r="H14" s="13">
        <f>Info!K26</f>
        <v>0</v>
      </c>
      <c r="I14" s="13">
        <f>Info!L26</f>
        <v>0</v>
      </c>
      <c r="J14" s="13">
        <f>Info!M26</f>
        <v>0</v>
      </c>
      <c r="K14" s="13">
        <f>Info!N26</f>
        <v>0</v>
      </c>
      <c r="L14" s="13">
        <f>Info!O26</f>
        <v>0</v>
      </c>
      <c r="M14" s="13">
        <f>Info!P26</f>
        <v>0</v>
      </c>
      <c r="N14" s="13">
        <f>Info!Q26</f>
        <v>0</v>
      </c>
      <c r="O14" s="13">
        <f>Info!R26</f>
        <v>0</v>
      </c>
      <c r="P14" s="13">
        <f>Info!S26</f>
        <v>0</v>
      </c>
      <c r="Q14" s="13">
        <f>Info!T26</f>
        <v>0</v>
      </c>
      <c r="R14" s="13">
        <f>Info!U26</f>
        <v>0</v>
      </c>
      <c r="S14" s="13">
        <f>Info!V26</f>
        <v>0</v>
      </c>
      <c r="T14" s="13">
        <f>Info!W26</f>
        <v>0</v>
      </c>
      <c r="U14" s="13">
        <f>Info!X26</f>
        <v>0</v>
      </c>
      <c r="V14" s="13">
        <f>Info!Y26</f>
        <v>0</v>
      </c>
      <c r="W14" t="str">
        <f>Info!H26</f>
        <v>settings.read, settings.write</v>
      </c>
      <c r="X14" s="12"/>
    </row>
    <row r="15" spans="1:24" x14ac:dyDescent="0.2">
      <c r="B15" t="b">
        <v>0</v>
      </c>
      <c r="C15" s="14" t="str" cm="1">
        <f t="array" ref="C15">IF(B15=TRUE,NowStatic(),"")</f>
        <v/>
      </c>
      <c r="D15" s="7">
        <f>Info!I28</f>
        <v>1</v>
      </c>
      <c r="E15" t="str">
        <f>Info!A28</f>
        <v>dynatrace_cloud_foundry</v>
      </c>
      <c r="F15" t="str">
        <f>Info!G28</f>
        <v>Settings 2.0</v>
      </c>
      <c r="G15" s="7">
        <f>Info!J28</f>
        <v>0</v>
      </c>
      <c r="H15" s="13">
        <f>Info!K28</f>
        <v>0</v>
      </c>
      <c r="I15" s="13">
        <f>Info!L28</f>
        <v>0</v>
      </c>
      <c r="J15" s="13">
        <f>Info!M28</f>
        <v>0</v>
      </c>
      <c r="K15" s="13">
        <f>Info!N28</f>
        <v>0</v>
      </c>
      <c r="L15" s="13">
        <f>Info!O28</f>
        <v>0</v>
      </c>
      <c r="M15" s="13">
        <f>Info!P28</f>
        <v>0</v>
      </c>
      <c r="N15" s="13">
        <f>Info!Q28</f>
        <v>0</v>
      </c>
      <c r="O15" s="13">
        <f>Info!R28</f>
        <v>0</v>
      </c>
      <c r="P15" s="13">
        <f>Info!S28</f>
        <v>0</v>
      </c>
      <c r="Q15" s="13">
        <f>Info!T28</f>
        <v>0</v>
      </c>
      <c r="R15" s="13">
        <f>Info!U28</f>
        <v>0</v>
      </c>
      <c r="S15" s="13">
        <f>Info!V28</f>
        <v>0</v>
      </c>
      <c r="T15" s="13">
        <f>Info!W28</f>
        <v>0</v>
      </c>
      <c r="U15" s="13">
        <f>Info!X28</f>
        <v>0</v>
      </c>
      <c r="V15" s="13">
        <f>Info!Y28</f>
        <v>0</v>
      </c>
      <c r="W15" t="str">
        <f>Info!H28</f>
        <v>settings.read, settings.write</v>
      </c>
      <c r="X15" s="12"/>
    </row>
    <row r="16" spans="1:24" x14ac:dyDescent="0.2">
      <c r="B16" t="b">
        <v>0</v>
      </c>
      <c r="C16" s="14" t="str" cm="1">
        <f t="array" ref="C16">IF(B16=TRUE,NowStatic(),"")</f>
        <v/>
      </c>
      <c r="D16" s="7">
        <f>Info!I29</f>
        <v>1</v>
      </c>
      <c r="E16" t="str">
        <f>Info!A29</f>
        <v>dynatrace_cloudapp_workloaddetection</v>
      </c>
      <c r="F16" t="str">
        <f>Info!G29</f>
        <v>Settings 2.0</v>
      </c>
      <c r="G16" s="7">
        <f>Info!J29</f>
        <v>0</v>
      </c>
      <c r="H16" s="13">
        <f>Info!K29</f>
        <v>0</v>
      </c>
      <c r="I16" s="13">
        <f>Info!L29</f>
        <v>0</v>
      </c>
      <c r="J16" s="13">
        <f>Info!M29</f>
        <v>0</v>
      </c>
      <c r="K16" s="13">
        <f>Info!N29</f>
        <v>0</v>
      </c>
      <c r="L16" s="13">
        <f>Info!O29</f>
        <v>0</v>
      </c>
      <c r="M16" s="13">
        <f>Info!P29</f>
        <v>0</v>
      </c>
      <c r="N16" s="13">
        <f>Info!Q29</f>
        <v>0</v>
      </c>
      <c r="O16" s="13">
        <f>Info!R29</f>
        <v>0</v>
      </c>
      <c r="P16" s="13">
        <f>Info!S29</f>
        <v>0</v>
      </c>
      <c r="Q16" s="13">
        <f>Info!T29</f>
        <v>0</v>
      </c>
      <c r="R16" s="13">
        <f>Info!U29</f>
        <v>0</v>
      </c>
      <c r="S16" s="13">
        <f>Info!V29</f>
        <v>0</v>
      </c>
      <c r="T16" s="13">
        <f>Info!W29</f>
        <v>0</v>
      </c>
      <c r="U16" s="13">
        <f>Info!X29</f>
        <v>0</v>
      </c>
      <c r="V16" s="13">
        <f>Info!Y29</f>
        <v>0</v>
      </c>
      <c r="W16" t="str">
        <f>Info!H29</f>
        <v>settings.read, settings.write</v>
      </c>
      <c r="X16" s="12"/>
    </row>
    <row r="17" spans="2:24" x14ac:dyDescent="0.2">
      <c r="B17" t="b">
        <v>0</v>
      </c>
      <c r="C17" s="14" t="str" cm="1">
        <f t="array" ref="C17">IF(B17=TRUE,NowStatic(),"")</f>
        <v/>
      </c>
      <c r="D17" s="7">
        <f>Info!I31</f>
        <v>1</v>
      </c>
      <c r="E17" t="str">
        <f>Info!A31</f>
        <v>dynatrace_connectivity_alerts</v>
      </c>
      <c r="F17" t="str">
        <f>Info!G31</f>
        <v>Settings 2.0</v>
      </c>
      <c r="G17" s="7">
        <f>Info!J31</f>
        <v>0</v>
      </c>
      <c r="H17" s="13">
        <f>Info!K31</f>
        <v>0</v>
      </c>
      <c r="I17" s="13">
        <f>Info!L31</f>
        <v>0</v>
      </c>
      <c r="J17" s="13">
        <f>Info!M31</f>
        <v>0</v>
      </c>
      <c r="K17" s="13">
        <f>Info!N31</f>
        <v>0</v>
      </c>
      <c r="L17" s="13">
        <f>Info!O31</f>
        <v>0</v>
      </c>
      <c r="M17" s="13">
        <f>Info!P31</f>
        <v>0</v>
      </c>
      <c r="N17" s="13">
        <f>Info!Q31</f>
        <v>0</v>
      </c>
      <c r="O17" s="13">
        <f>Info!R31</f>
        <v>0</v>
      </c>
      <c r="P17" s="13">
        <f>Info!S31</f>
        <v>0</v>
      </c>
      <c r="Q17" s="13">
        <f>Info!T31</f>
        <v>0</v>
      </c>
      <c r="R17" s="13">
        <f>Info!U31</f>
        <v>0</v>
      </c>
      <c r="S17" s="13">
        <f>Info!V31</f>
        <v>0</v>
      </c>
      <c r="T17" s="13">
        <f>Info!W31</f>
        <v>0</v>
      </c>
      <c r="U17" s="13">
        <f>Info!X31</f>
        <v>0</v>
      </c>
      <c r="V17" s="13">
        <f>Info!Y31</f>
        <v>0</v>
      </c>
      <c r="W17" t="str">
        <f>Info!H31</f>
        <v>settings.read, settings.write</v>
      </c>
      <c r="X17" s="12"/>
    </row>
    <row r="18" spans="2:24" x14ac:dyDescent="0.2">
      <c r="B18" t="b">
        <v>0</v>
      </c>
      <c r="C18" s="14" t="str" cm="1">
        <f t="array" ref="C18">IF(B18=TRUE,NowStatic(),"")</f>
        <v/>
      </c>
      <c r="D18" s="7">
        <f>Info!I32</f>
        <v>1</v>
      </c>
      <c r="E18" t="str">
        <f>Info!A32</f>
        <v>dynatrace_container_builtin_rule</v>
      </c>
      <c r="F18" t="str">
        <f>Info!G32</f>
        <v>Settings 2.0</v>
      </c>
      <c r="G18" s="7">
        <f>Info!J32</f>
        <v>0</v>
      </c>
      <c r="H18" s="13">
        <f>Info!K32</f>
        <v>0</v>
      </c>
      <c r="I18" s="13">
        <f>Info!L32</f>
        <v>0</v>
      </c>
      <c r="J18" s="13">
        <f>Info!M32</f>
        <v>0</v>
      </c>
      <c r="K18" s="13">
        <f>Info!N32</f>
        <v>0</v>
      </c>
      <c r="L18" s="13">
        <f>Info!O32</f>
        <v>0</v>
      </c>
      <c r="M18" s="13">
        <f>Info!P32</f>
        <v>0</v>
      </c>
      <c r="N18" s="13">
        <f>Info!Q32</f>
        <v>0</v>
      </c>
      <c r="O18" s="13">
        <f>Info!R32</f>
        <v>0</v>
      </c>
      <c r="P18" s="13">
        <f>Info!S32</f>
        <v>0</v>
      </c>
      <c r="Q18" s="13">
        <f>Info!T32</f>
        <v>0</v>
      </c>
      <c r="R18" s="13">
        <f>Info!U32</f>
        <v>0</v>
      </c>
      <c r="S18" s="13">
        <f>Info!V32</f>
        <v>0</v>
      </c>
      <c r="T18" s="13">
        <f>Info!W32</f>
        <v>0</v>
      </c>
      <c r="U18" s="13">
        <f>Info!X32</f>
        <v>0</v>
      </c>
      <c r="V18" s="13">
        <f>Info!Y32</f>
        <v>0</v>
      </c>
      <c r="W18" t="str">
        <f>Info!H32</f>
        <v>settings.read, settings.write</v>
      </c>
      <c r="X18" s="12"/>
    </row>
    <row r="19" spans="2:24" x14ac:dyDescent="0.2">
      <c r="B19" t="b">
        <v>0</v>
      </c>
      <c r="C19" s="14" t="str" cm="1">
        <f t="array" ref="C19">IF(B19=TRUE,NowStatic(),"")</f>
        <v/>
      </c>
      <c r="D19" s="7">
        <f>Info!I33</f>
        <v>1</v>
      </c>
      <c r="E19" t="str">
        <f>Info!A33</f>
        <v>dynatrace_container_rule</v>
      </c>
      <c r="F19" t="str">
        <f>Info!G33</f>
        <v>Settings 2.0</v>
      </c>
      <c r="G19" s="7">
        <f>Info!J33</f>
        <v>0</v>
      </c>
      <c r="H19" s="13">
        <f>Info!K33</f>
        <v>0</v>
      </c>
      <c r="I19" s="13">
        <f>Info!L33</f>
        <v>0</v>
      </c>
      <c r="J19" s="13">
        <f>Info!M33</f>
        <v>0</v>
      </c>
      <c r="K19" s="13">
        <f>Info!N33</f>
        <v>0</v>
      </c>
      <c r="L19" s="13">
        <f>Info!O33</f>
        <v>0</v>
      </c>
      <c r="M19" s="13">
        <f>Info!P33</f>
        <v>0</v>
      </c>
      <c r="N19" s="13">
        <f>Info!Q33</f>
        <v>0</v>
      </c>
      <c r="O19" s="13">
        <f>Info!R33</f>
        <v>0</v>
      </c>
      <c r="P19" s="13">
        <f>Info!S33</f>
        <v>0</v>
      </c>
      <c r="Q19" s="13">
        <f>Info!T33</f>
        <v>0</v>
      </c>
      <c r="R19" s="13">
        <f>Info!U33</f>
        <v>0</v>
      </c>
      <c r="S19" s="13">
        <f>Info!V33</f>
        <v>0</v>
      </c>
      <c r="T19" s="13">
        <f>Info!W33</f>
        <v>0</v>
      </c>
      <c r="U19" s="13">
        <f>Info!X33</f>
        <v>0</v>
      </c>
      <c r="V19" s="13">
        <f>Info!Y33</f>
        <v>0</v>
      </c>
      <c r="W19" t="str">
        <f>Info!H33</f>
        <v>settings.read, settings.write</v>
      </c>
      <c r="X19" s="12"/>
    </row>
    <row r="20" spans="2:24" x14ac:dyDescent="0.2">
      <c r="B20" t="b">
        <v>0</v>
      </c>
      <c r="C20" s="14" t="str" cm="1">
        <f t="array" ref="C20">IF(B20=TRUE,NowStatic(),"")</f>
        <v/>
      </c>
      <c r="D20" s="7">
        <f>Info!I34</f>
        <v>1</v>
      </c>
      <c r="E20" t="str">
        <f>Info!A34</f>
        <v>dynatrace_container_technology</v>
      </c>
      <c r="F20" t="str">
        <f>Info!G34</f>
        <v>Settings 2.0</v>
      </c>
      <c r="G20" s="7">
        <f>Info!J34</f>
        <v>0</v>
      </c>
      <c r="H20" s="13">
        <f>Info!K34</f>
        <v>0</v>
      </c>
      <c r="I20" s="13">
        <f>Info!L34</f>
        <v>0</v>
      </c>
      <c r="J20" s="13">
        <f>Info!M34</f>
        <v>0</v>
      </c>
      <c r="K20" s="13">
        <f>Info!N34</f>
        <v>0</v>
      </c>
      <c r="L20" s="13">
        <f>Info!O34</f>
        <v>0</v>
      </c>
      <c r="M20" s="13">
        <f>Info!P34</f>
        <v>0</v>
      </c>
      <c r="N20" s="13">
        <f>Info!Q34</f>
        <v>0</v>
      </c>
      <c r="O20" s="13">
        <f>Info!R34</f>
        <v>0</v>
      </c>
      <c r="P20" s="13">
        <f>Info!S34</f>
        <v>0</v>
      </c>
      <c r="Q20" s="13">
        <f>Info!T34</f>
        <v>0</v>
      </c>
      <c r="R20" s="13">
        <f>Info!U34</f>
        <v>0</v>
      </c>
      <c r="S20" s="13">
        <f>Info!V34</f>
        <v>0</v>
      </c>
      <c r="T20" s="13">
        <f>Info!W34</f>
        <v>0</v>
      </c>
      <c r="U20" s="13">
        <f>Info!X34</f>
        <v>0</v>
      </c>
      <c r="V20" s="13">
        <f>Info!Y34</f>
        <v>0</v>
      </c>
      <c r="W20" t="str">
        <f>Info!H34</f>
        <v>settings.read, settings.write</v>
      </c>
      <c r="X20" s="12"/>
    </row>
    <row r="21" spans="2:24" x14ac:dyDescent="0.2">
      <c r="B21" t="b">
        <v>0</v>
      </c>
      <c r="C21" s="14" t="str" cm="1">
        <f t="array" ref="C21">IF(B21=TRUE,NowStatic(),"")</f>
        <v/>
      </c>
      <c r="D21" s="7">
        <f>Info!I35</f>
        <v>1</v>
      </c>
      <c r="E21" t="str">
        <f>Info!A35</f>
        <v>dynatrace_credentials</v>
      </c>
      <c r="F21" t="str">
        <f>Info!G35</f>
        <v>Environment v2</v>
      </c>
      <c r="G21" s="7">
        <f>Info!J35</f>
        <v>1</v>
      </c>
      <c r="H21" s="13">
        <f>Info!K35</f>
        <v>0</v>
      </c>
      <c r="I21" s="13">
        <f>Info!L35</f>
        <v>0</v>
      </c>
      <c r="J21" s="13">
        <f>Info!M35</f>
        <v>0</v>
      </c>
      <c r="K21" s="13">
        <f>Info!N35</f>
        <v>0</v>
      </c>
      <c r="L21" s="13">
        <f>Info!O35</f>
        <v>0</v>
      </c>
      <c r="M21" s="13">
        <f>Info!P35</f>
        <v>0</v>
      </c>
      <c r="N21" s="13">
        <f>Info!Q35</f>
        <v>0</v>
      </c>
      <c r="O21" s="13">
        <f>Info!R35</f>
        <v>0</v>
      </c>
      <c r="P21" s="13">
        <f>Info!S35</f>
        <v>0</v>
      </c>
      <c r="Q21" s="13">
        <f>Info!T35</f>
        <v>0</v>
      </c>
      <c r="R21" s="13">
        <f>Info!U35</f>
        <v>0</v>
      </c>
      <c r="S21" s="13">
        <f>Info!V35</f>
        <v>0</v>
      </c>
      <c r="T21" s="13">
        <f>Info!W35</f>
        <v>0</v>
      </c>
      <c r="U21" s="13" t="str">
        <f>Info!X35</f>
        <v>X</v>
      </c>
      <c r="V21" s="13">
        <f>Info!Y35</f>
        <v>0</v>
      </c>
      <c r="W21" t="str">
        <f>Info!H35</f>
        <v>credentialVault.read, credentialVault.write</v>
      </c>
      <c r="X21" s="12"/>
    </row>
    <row r="22" spans="2:24" x14ac:dyDescent="0.2">
      <c r="B22" t="b">
        <v>0</v>
      </c>
      <c r="C22" s="14" t="str" cm="1">
        <f t="array" ref="C22">IF(B22=TRUE,NowStatic(),"")</f>
        <v/>
      </c>
      <c r="D22" s="7">
        <f>Info!I40</f>
        <v>1</v>
      </c>
      <c r="E22" t="str">
        <f>Info!A40</f>
        <v>dynatrace_custom_service</v>
      </c>
      <c r="F22" t="str">
        <f>Info!G40</f>
        <v>Config</v>
      </c>
      <c r="G22" s="7">
        <f>Info!J40</f>
        <v>0</v>
      </c>
      <c r="H22" s="13">
        <f>Info!K40</f>
        <v>0</v>
      </c>
      <c r="I22" s="13">
        <f>Info!L40</f>
        <v>0</v>
      </c>
      <c r="J22" s="13">
        <f>Info!M40</f>
        <v>0</v>
      </c>
      <c r="K22" s="13">
        <f>Info!N40</f>
        <v>0</v>
      </c>
      <c r="L22" s="13">
        <f>Info!O40</f>
        <v>0</v>
      </c>
      <c r="M22" s="13">
        <f>Info!P40</f>
        <v>0</v>
      </c>
      <c r="N22" s="13">
        <f>Info!Q40</f>
        <v>0</v>
      </c>
      <c r="O22" s="13">
        <f>Info!R40</f>
        <v>0</v>
      </c>
      <c r="P22" s="13">
        <f>Info!S40</f>
        <v>0</v>
      </c>
      <c r="Q22" s="13">
        <f>Info!T40</f>
        <v>0</v>
      </c>
      <c r="R22" s="13">
        <f>Info!U40</f>
        <v>0</v>
      </c>
      <c r="S22" s="13">
        <f>Info!V40</f>
        <v>0</v>
      </c>
      <c r="T22" s="13">
        <f>Info!W40</f>
        <v>0</v>
      </c>
      <c r="U22" s="13">
        <f>Info!X40</f>
        <v>0</v>
      </c>
      <c r="V22" s="13">
        <f>Info!Y40</f>
        <v>0</v>
      </c>
      <c r="W22" t="str">
        <f>Info!H40</f>
        <v>ReadConfig, WriteConfig</v>
      </c>
      <c r="X22" s="12"/>
    </row>
    <row r="23" spans="2:24" x14ac:dyDescent="0.2">
      <c r="B23" t="b">
        <v>0</v>
      </c>
      <c r="C23" s="14" t="str" cm="1">
        <f t="array" ref="C23">IF(B23=TRUE,NowStatic(),"")</f>
        <v/>
      </c>
      <c r="D23" s="7">
        <f>Info!I41</f>
        <v>1</v>
      </c>
      <c r="E23" t="str">
        <f>Info!A41</f>
        <v>dynatrace_custom_units</v>
      </c>
      <c r="F23" t="str">
        <f>Info!G41</f>
        <v>Settings 2.0</v>
      </c>
      <c r="G23" s="7">
        <f>Info!J41</f>
        <v>0</v>
      </c>
      <c r="H23" s="13">
        <f>Info!K41</f>
        <v>0</v>
      </c>
      <c r="I23" s="13">
        <f>Info!L41</f>
        <v>0</v>
      </c>
      <c r="J23" s="13">
        <f>Info!M41</f>
        <v>0</v>
      </c>
      <c r="K23" s="13">
        <f>Info!N41</f>
        <v>0</v>
      </c>
      <c r="L23" s="13">
        <f>Info!O41</f>
        <v>0</v>
      </c>
      <c r="M23" s="13">
        <f>Info!P41</f>
        <v>0</v>
      </c>
      <c r="N23" s="13">
        <f>Info!Q41</f>
        <v>0</v>
      </c>
      <c r="O23" s="13">
        <f>Info!R41</f>
        <v>0</v>
      </c>
      <c r="P23" s="13">
        <f>Info!S41</f>
        <v>0</v>
      </c>
      <c r="Q23" s="13">
        <f>Info!T41</f>
        <v>0</v>
      </c>
      <c r="R23" s="13">
        <f>Info!U41</f>
        <v>0</v>
      </c>
      <c r="S23" s="13">
        <f>Info!V41</f>
        <v>0</v>
      </c>
      <c r="T23" s="13">
        <f>Info!W41</f>
        <v>0</v>
      </c>
      <c r="U23" s="13">
        <f>Info!X41</f>
        <v>0</v>
      </c>
      <c r="V23" s="13">
        <f>Info!Y41</f>
        <v>0</v>
      </c>
      <c r="W23" t="str">
        <f>Info!H41</f>
        <v>settings.read, settings.write</v>
      </c>
      <c r="X23" s="12"/>
    </row>
    <row r="24" spans="2:24" x14ac:dyDescent="0.2">
      <c r="B24" t="b">
        <v>0</v>
      </c>
      <c r="C24" s="14" t="str" cm="1">
        <f t="array" ref="C24">IF(B24=TRUE,NowStatic(),"")</f>
        <v/>
      </c>
      <c r="D24" s="7">
        <f>Info!I44</f>
        <v>1</v>
      </c>
      <c r="E24" t="str">
        <f>Info!A44</f>
        <v>dynatrace_dashboards_allowlist</v>
      </c>
      <c r="F24" t="str">
        <f>Info!G44</f>
        <v>Settings 2.0</v>
      </c>
      <c r="G24" s="7">
        <f>Info!J44</f>
        <v>0</v>
      </c>
      <c r="H24" s="13">
        <f>Info!K44</f>
        <v>0</v>
      </c>
      <c r="I24" s="13">
        <f>Info!L44</f>
        <v>0</v>
      </c>
      <c r="J24" s="13">
        <f>Info!M44</f>
        <v>0</v>
      </c>
      <c r="K24" s="13">
        <f>Info!N44</f>
        <v>0</v>
      </c>
      <c r="L24" s="13">
        <f>Info!O44</f>
        <v>0</v>
      </c>
      <c r="M24" s="13">
        <f>Info!P44</f>
        <v>0</v>
      </c>
      <c r="N24" s="13">
        <f>Info!Q44</f>
        <v>0</v>
      </c>
      <c r="O24" s="13">
        <f>Info!R44</f>
        <v>0</v>
      </c>
      <c r="P24" s="13">
        <f>Info!S44</f>
        <v>0</v>
      </c>
      <c r="Q24" s="13">
        <f>Info!T44</f>
        <v>0</v>
      </c>
      <c r="R24" s="13">
        <f>Info!U44</f>
        <v>0</v>
      </c>
      <c r="S24" s="13">
        <f>Info!V44</f>
        <v>0</v>
      </c>
      <c r="T24" s="13">
        <f>Info!W44</f>
        <v>0</v>
      </c>
      <c r="U24" s="13">
        <f>Info!X44</f>
        <v>0</v>
      </c>
      <c r="V24" s="13">
        <f>Info!Y44</f>
        <v>0</v>
      </c>
      <c r="W24" t="str">
        <f>Info!H44</f>
        <v>settings.read, settings.write</v>
      </c>
      <c r="X24" s="12"/>
    </row>
    <row r="25" spans="2:24" x14ac:dyDescent="0.2">
      <c r="B25" t="b">
        <v>0</v>
      </c>
      <c r="C25" s="14" t="str" cm="1">
        <f t="array" ref="C25">IF(B25=TRUE,NowStatic(),"")</f>
        <v/>
      </c>
      <c r="D25" s="7">
        <f>Info!I45</f>
        <v>1</v>
      </c>
      <c r="E25" t="str">
        <f>Info!A45</f>
        <v>dynatrace_dashboards_general</v>
      </c>
      <c r="F25" t="str">
        <f>Info!G45</f>
        <v>Settings 2.0</v>
      </c>
      <c r="G25" s="7">
        <f>Info!J45</f>
        <v>0</v>
      </c>
      <c r="H25" s="13">
        <f>Info!K45</f>
        <v>0</v>
      </c>
      <c r="I25" s="13">
        <f>Info!L45</f>
        <v>0</v>
      </c>
      <c r="J25" s="13">
        <f>Info!M45</f>
        <v>0</v>
      </c>
      <c r="K25" s="13">
        <f>Info!N45</f>
        <v>0</v>
      </c>
      <c r="L25" s="13">
        <f>Info!O45</f>
        <v>0</v>
      </c>
      <c r="M25" s="13">
        <f>Info!P45</f>
        <v>0</v>
      </c>
      <c r="N25" s="13">
        <f>Info!Q45</f>
        <v>0</v>
      </c>
      <c r="O25" s="13">
        <f>Info!R45</f>
        <v>0</v>
      </c>
      <c r="P25" s="13">
        <f>Info!S45</f>
        <v>0</v>
      </c>
      <c r="Q25" s="13">
        <f>Info!T45</f>
        <v>0</v>
      </c>
      <c r="R25" s="13">
        <f>Info!U45</f>
        <v>0</v>
      </c>
      <c r="S25" s="13">
        <f>Info!V45</f>
        <v>0</v>
      </c>
      <c r="T25" s="13">
        <f>Info!W45</f>
        <v>0</v>
      </c>
      <c r="U25" s="13">
        <f>Info!X45</f>
        <v>0</v>
      </c>
      <c r="V25" s="13">
        <f>Info!Y45</f>
        <v>0</v>
      </c>
      <c r="W25" t="str">
        <f>Info!H45</f>
        <v>settings.read, settings.write</v>
      </c>
      <c r="X25" s="12"/>
    </row>
    <row r="26" spans="2:24" x14ac:dyDescent="0.2">
      <c r="B26" t="b">
        <v>0</v>
      </c>
      <c r="C26" s="14" t="str" cm="1">
        <f t="array" ref="C26">IF(B26=TRUE,NowStatic(),"")</f>
        <v/>
      </c>
      <c r="D26" s="7">
        <f>Info!I46</f>
        <v>1</v>
      </c>
      <c r="E26" t="str">
        <f>Info!A46</f>
        <v>dynatrace_dashboards_presets</v>
      </c>
      <c r="F26" t="str">
        <f>Info!G46</f>
        <v>Settings 2.0</v>
      </c>
      <c r="G26" s="7">
        <f>Info!J46</f>
        <v>0</v>
      </c>
      <c r="H26" s="13">
        <f>Info!K46</f>
        <v>0</v>
      </c>
      <c r="I26" s="13">
        <f>Info!L46</f>
        <v>0</v>
      </c>
      <c r="J26" s="13">
        <f>Info!M46</f>
        <v>0</v>
      </c>
      <c r="K26" s="13">
        <f>Info!N46</f>
        <v>0</v>
      </c>
      <c r="L26" s="13">
        <f>Info!O46</f>
        <v>0</v>
      </c>
      <c r="M26" s="13">
        <f>Info!P46</f>
        <v>0</v>
      </c>
      <c r="N26" s="13">
        <f>Info!Q46</f>
        <v>0</v>
      </c>
      <c r="O26" s="13">
        <f>Info!R46</f>
        <v>0</v>
      </c>
      <c r="P26" s="13">
        <f>Info!S46</f>
        <v>0</v>
      </c>
      <c r="Q26" s="13">
        <f>Info!T46</f>
        <v>0</v>
      </c>
      <c r="R26" s="13">
        <f>Info!U46</f>
        <v>0</v>
      </c>
      <c r="S26" s="13">
        <f>Info!V46</f>
        <v>0</v>
      </c>
      <c r="T26" s="13">
        <f>Info!W46</f>
        <v>0</v>
      </c>
      <c r="U26" s="13">
        <f>Info!X46</f>
        <v>0</v>
      </c>
      <c r="V26" s="13">
        <f>Info!Y46</f>
        <v>0</v>
      </c>
      <c r="W26" t="str">
        <f>Info!H46</f>
        <v>settings.read, settings.write</v>
      </c>
      <c r="X26" s="12"/>
    </row>
    <row r="27" spans="2:24" x14ac:dyDescent="0.2">
      <c r="B27" t="b">
        <v>0</v>
      </c>
      <c r="C27" s="14" t="str" cm="1">
        <f t="array" ref="C27">IF(B27=TRUE,NowStatic(),"")</f>
        <v/>
      </c>
      <c r="D27" s="7">
        <f>Info!I49</f>
        <v>1</v>
      </c>
      <c r="E27" t="str">
        <f>Info!A49</f>
        <v>dynatrace_database_anomalies_v2</v>
      </c>
      <c r="F27" t="str">
        <f>Info!G49</f>
        <v>Settings 2.0</v>
      </c>
      <c r="G27" s="7">
        <f>Info!J49</f>
        <v>0</v>
      </c>
      <c r="H27" s="13">
        <f>Info!K49</f>
        <v>0</v>
      </c>
      <c r="I27" s="13">
        <f>Info!L49</f>
        <v>0</v>
      </c>
      <c r="J27" s="13">
        <f>Info!M49</f>
        <v>0</v>
      </c>
      <c r="K27" s="13">
        <f>Info!N49</f>
        <v>0</v>
      </c>
      <c r="L27" s="13">
        <f>Info!O49</f>
        <v>0</v>
      </c>
      <c r="M27" s="13">
        <f>Info!P49</f>
        <v>0</v>
      </c>
      <c r="N27" s="13">
        <f>Info!Q49</f>
        <v>0</v>
      </c>
      <c r="O27" s="13">
        <f>Info!R49</f>
        <v>0</v>
      </c>
      <c r="P27" s="13">
        <f>Info!S49</f>
        <v>0</v>
      </c>
      <c r="Q27" s="13">
        <f>Info!T49</f>
        <v>0</v>
      </c>
      <c r="R27" s="13">
        <f>Info!U49</f>
        <v>0</v>
      </c>
      <c r="S27" s="13">
        <f>Info!V49</f>
        <v>0</v>
      </c>
      <c r="T27" s="13">
        <f>Info!W49</f>
        <v>0</v>
      </c>
      <c r="U27" s="13">
        <f>Info!X49</f>
        <v>0</v>
      </c>
      <c r="V27" s="13">
        <f>Info!Y49</f>
        <v>0</v>
      </c>
      <c r="W27" t="str">
        <f>Info!H49</f>
        <v>settings.read, settings.write</v>
      </c>
      <c r="X27" s="12"/>
    </row>
    <row r="28" spans="2:24" x14ac:dyDescent="0.2">
      <c r="B28" t="b">
        <v>0</v>
      </c>
      <c r="C28" s="14" t="str" cm="1">
        <f t="array" ref="C28">IF(B28=TRUE,NowStatic(),"")</f>
        <v/>
      </c>
      <c r="D28" s="7">
        <f>Info!I50</f>
        <v>1</v>
      </c>
      <c r="E28" t="str">
        <f>Info!A50</f>
        <v>dynatrace_ddu_pool</v>
      </c>
      <c r="F28" t="str">
        <f>Info!G50</f>
        <v>Settings 2.0</v>
      </c>
      <c r="G28" s="7">
        <f>Info!J50</f>
        <v>0</v>
      </c>
      <c r="H28" s="13">
        <f>Info!K50</f>
        <v>0</v>
      </c>
      <c r="I28" s="13">
        <f>Info!L50</f>
        <v>0</v>
      </c>
      <c r="J28" s="13">
        <f>Info!M50</f>
        <v>0</v>
      </c>
      <c r="K28" s="13">
        <f>Info!N50</f>
        <v>0</v>
      </c>
      <c r="L28" s="13">
        <f>Info!O50</f>
        <v>0</v>
      </c>
      <c r="M28" s="13">
        <f>Info!P50</f>
        <v>0</v>
      </c>
      <c r="N28" s="13">
        <f>Info!Q50</f>
        <v>0</v>
      </c>
      <c r="O28" s="13">
        <f>Info!R50</f>
        <v>0</v>
      </c>
      <c r="P28" s="13">
        <f>Info!S50</f>
        <v>0</v>
      </c>
      <c r="Q28" s="13">
        <f>Info!T50</f>
        <v>0</v>
      </c>
      <c r="R28" s="13">
        <f>Info!U50</f>
        <v>0</v>
      </c>
      <c r="S28" s="13">
        <f>Info!V50</f>
        <v>0</v>
      </c>
      <c r="T28" s="13">
        <f>Info!W50</f>
        <v>0</v>
      </c>
      <c r="U28" s="13">
        <f>Info!X50</f>
        <v>0</v>
      </c>
      <c r="V28" s="13">
        <f>Info!Y50</f>
        <v>0</v>
      </c>
      <c r="W28" t="str">
        <f>Info!H50</f>
        <v>settings.read, settings.write</v>
      </c>
      <c r="X28" s="12"/>
    </row>
    <row r="29" spans="2:24" x14ac:dyDescent="0.2">
      <c r="B29" t="b">
        <v>0</v>
      </c>
      <c r="C29" s="14" t="str" cm="1">
        <f t="array" ref="C29">IF(B29=TRUE,NowStatic(),"")</f>
        <v/>
      </c>
      <c r="D29" s="7">
        <f>Info!I51</f>
        <v>1</v>
      </c>
      <c r="E29" t="str">
        <f>Info!A51</f>
        <v>dynatrace_declarative_grouping</v>
      </c>
      <c r="F29" t="str">
        <f>Info!G51</f>
        <v>Settings 2.0</v>
      </c>
      <c r="G29" s="7">
        <f>Info!J51</f>
        <v>0</v>
      </c>
      <c r="H29" s="13">
        <f>Info!K51</f>
        <v>0</v>
      </c>
      <c r="I29" s="13">
        <f>Info!L51</f>
        <v>0</v>
      </c>
      <c r="J29" s="13">
        <f>Info!M51</f>
        <v>0</v>
      </c>
      <c r="K29" s="13">
        <f>Info!N51</f>
        <v>0</v>
      </c>
      <c r="L29" s="13">
        <f>Info!O51</f>
        <v>0</v>
      </c>
      <c r="M29" s="13">
        <f>Info!P51</f>
        <v>0</v>
      </c>
      <c r="N29" s="13">
        <f>Info!Q51</f>
        <v>0</v>
      </c>
      <c r="O29" s="13">
        <f>Info!R51</f>
        <v>0</v>
      </c>
      <c r="P29" s="13">
        <f>Info!S51</f>
        <v>0</v>
      </c>
      <c r="Q29" s="13">
        <f>Info!T51</f>
        <v>0</v>
      </c>
      <c r="R29" s="13">
        <f>Info!U51</f>
        <v>0</v>
      </c>
      <c r="S29" s="13">
        <f>Info!V51</f>
        <v>0</v>
      </c>
      <c r="T29" s="13">
        <f>Info!W51</f>
        <v>0</v>
      </c>
      <c r="U29" s="13">
        <f>Info!X51</f>
        <v>0</v>
      </c>
      <c r="V29" s="13">
        <f>Info!Y51</f>
        <v>0</v>
      </c>
      <c r="W29" t="str">
        <f>Info!H51</f>
        <v>settings.read, settings.write</v>
      </c>
      <c r="X29" s="12"/>
    </row>
    <row r="30" spans="2:24" x14ac:dyDescent="0.2">
      <c r="B30" t="b">
        <v>0</v>
      </c>
      <c r="C30" s="14" t="str" cm="1">
        <f t="array" ref="C30">IF(B30=TRUE,NowStatic(),"")</f>
        <v/>
      </c>
      <c r="D30" s="7">
        <f>Info!I52</f>
        <v>1</v>
      </c>
      <c r="E30" t="str">
        <f>Info!A52</f>
        <v>dynatrace_disk_analytics</v>
      </c>
      <c r="F30" t="str">
        <f>Info!G52</f>
        <v>Settings 2.0</v>
      </c>
      <c r="G30" s="7">
        <f>Info!J52</f>
        <v>0</v>
      </c>
      <c r="H30" s="13">
        <f>Info!K52</f>
        <v>0</v>
      </c>
      <c r="I30" s="13">
        <f>Info!L52</f>
        <v>0</v>
      </c>
      <c r="J30" s="13">
        <f>Info!M52</f>
        <v>0</v>
      </c>
      <c r="K30" s="13">
        <f>Info!N52</f>
        <v>0</v>
      </c>
      <c r="L30" s="13">
        <f>Info!O52</f>
        <v>0</v>
      </c>
      <c r="M30" s="13">
        <f>Info!P52</f>
        <v>0</v>
      </c>
      <c r="N30" s="13">
        <f>Info!Q52</f>
        <v>0</v>
      </c>
      <c r="O30" s="13">
        <f>Info!R52</f>
        <v>0</v>
      </c>
      <c r="P30" s="13">
        <f>Info!S52</f>
        <v>0</v>
      </c>
      <c r="Q30" s="13">
        <f>Info!T52</f>
        <v>0</v>
      </c>
      <c r="R30" s="13">
        <f>Info!U52</f>
        <v>0</v>
      </c>
      <c r="S30" s="13">
        <f>Info!V52</f>
        <v>0</v>
      </c>
      <c r="T30" s="13">
        <f>Info!W52</f>
        <v>0</v>
      </c>
      <c r="U30" s="13">
        <f>Info!X52</f>
        <v>0</v>
      </c>
      <c r="V30" s="13">
        <f>Info!Y52</f>
        <v>0</v>
      </c>
      <c r="W30" t="str">
        <f>Info!H52</f>
        <v>settings.read, settings.write</v>
      </c>
      <c r="X30" s="12"/>
    </row>
    <row r="31" spans="2:24" x14ac:dyDescent="0.2">
      <c r="B31" t="b">
        <v>0</v>
      </c>
      <c r="C31" s="14" t="str" cm="1">
        <f t="array" ref="C31">IF(B31=TRUE,NowStatic(),"")</f>
        <v/>
      </c>
      <c r="D31" s="7">
        <f>Info!I54</f>
        <v>1</v>
      </c>
      <c r="E31" t="str">
        <f>Info!A54</f>
        <v>dynatrace_disk_anomalies_v2</v>
      </c>
      <c r="F31" t="str">
        <f>Info!G54</f>
        <v>Settings 2.0</v>
      </c>
      <c r="G31" s="7">
        <f>Info!J54</f>
        <v>0</v>
      </c>
      <c r="H31" s="13">
        <f>Info!K54</f>
        <v>0</v>
      </c>
      <c r="I31" s="13">
        <f>Info!L54</f>
        <v>0</v>
      </c>
      <c r="J31" s="13">
        <f>Info!M54</f>
        <v>0</v>
      </c>
      <c r="K31" s="13">
        <f>Info!N54</f>
        <v>0</v>
      </c>
      <c r="L31" s="13">
        <f>Info!O54</f>
        <v>0</v>
      </c>
      <c r="M31" s="13">
        <f>Info!P54</f>
        <v>0</v>
      </c>
      <c r="N31" s="13">
        <f>Info!Q54</f>
        <v>0</v>
      </c>
      <c r="O31" s="13">
        <f>Info!R54</f>
        <v>0</v>
      </c>
      <c r="P31" s="13">
        <f>Info!S54</f>
        <v>0</v>
      </c>
      <c r="Q31" s="13">
        <f>Info!T54</f>
        <v>0</v>
      </c>
      <c r="R31" s="13">
        <f>Info!U54</f>
        <v>0</v>
      </c>
      <c r="S31" s="13">
        <f>Info!V54</f>
        <v>0</v>
      </c>
      <c r="T31" s="13">
        <f>Info!W54</f>
        <v>0</v>
      </c>
      <c r="U31" s="13">
        <f>Info!X54</f>
        <v>0</v>
      </c>
      <c r="V31" s="13">
        <f>Info!Y54</f>
        <v>0</v>
      </c>
      <c r="W31" t="str">
        <f>Info!H54</f>
        <v>settings.read, settings.write</v>
      </c>
      <c r="X31" s="12"/>
    </row>
    <row r="32" spans="2:24" x14ac:dyDescent="0.2">
      <c r="B32" t="b">
        <v>0</v>
      </c>
      <c r="C32" s="14" t="str" cm="1">
        <f t="array" ref="C32">IF(B32=TRUE,NowStatic(),"")</f>
        <v/>
      </c>
      <c r="D32" s="7">
        <f>Info!I55</f>
        <v>1</v>
      </c>
      <c r="E32" t="str">
        <f>Info!A55</f>
        <v>dynatrace_disk_anomaly_rules</v>
      </c>
      <c r="F32" t="str">
        <f>Info!G55</f>
        <v>Settings 2.0</v>
      </c>
      <c r="G32" s="7">
        <f>Info!J55</f>
        <v>0</v>
      </c>
      <c r="H32" s="13">
        <f>Info!K55</f>
        <v>0</v>
      </c>
      <c r="I32" s="13">
        <f>Info!L55</f>
        <v>0</v>
      </c>
      <c r="J32" s="13">
        <f>Info!M55</f>
        <v>0</v>
      </c>
      <c r="K32" s="13">
        <f>Info!N55</f>
        <v>0</v>
      </c>
      <c r="L32" s="13">
        <f>Info!O55</f>
        <v>0</v>
      </c>
      <c r="M32" s="13">
        <f>Info!P55</f>
        <v>0</v>
      </c>
      <c r="N32" s="13">
        <f>Info!Q55</f>
        <v>0</v>
      </c>
      <c r="O32" s="13">
        <f>Info!R55</f>
        <v>0</v>
      </c>
      <c r="P32" s="13">
        <f>Info!S55</f>
        <v>0</v>
      </c>
      <c r="Q32" s="13">
        <f>Info!T55</f>
        <v>0</v>
      </c>
      <c r="R32" s="13">
        <f>Info!U55</f>
        <v>0</v>
      </c>
      <c r="S32" s="13">
        <f>Info!V55</f>
        <v>0</v>
      </c>
      <c r="T32" s="13">
        <f>Info!W55</f>
        <v>0</v>
      </c>
      <c r="U32" s="13">
        <f>Info!X55</f>
        <v>0</v>
      </c>
      <c r="V32" s="13">
        <f>Info!Y55</f>
        <v>0</v>
      </c>
      <c r="W32" t="str">
        <f>Info!H55</f>
        <v>settings.read, settings.write</v>
      </c>
      <c r="X32" s="12"/>
    </row>
    <row r="33" spans="2:24" x14ac:dyDescent="0.2">
      <c r="B33" t="b">
        <v>0</v>
      </c>
      <c r="C33" s="14" t="str" cm="1">
        <f t="array" ref="C33">IF(B33=TRUE,NowStatic(),"")</f>
        <v/>
      </c>
      <c r="D33" s="7">
        <f>Info!I56</f>
        <v>1</v>
      </c>
      <c r="E33" t="str">
        <f>Info!A56</f>
        <v>dynatrace_disk_options</v>
      </c>
      <c r="F33" t="str">
        <f>Info!G56</f>
        <v>Settings 2.0</v>
      </c>
      <c r="G33" s="7">
        <f>Info!J56</f>
        <v>0</v>
      </c>
      <c r="H33" s="13">
        <f>Info!K56</f>
        <v>0</v>
      </c>
      <c r="I33" s="13">
        <f>Info!L56</f>
        <v>0</v>
      </c>
      <c r="J33" s="13">
        <f>Info!M56</f>
        <v>0</v>
      </c>
      <c r="K33" s="13">
        <f>Info!N56</f>
        <v>0</v>
      </c>
      <c r="L33" s="13">
        <f>Info!O56</f>
        <v>0</v>
      </c>
      <c r="M33" s="13">
        <f>Info!P56</f>
        <v>0</v>
      </c>
      <c r="N33" s="13">
        <f>Info!Q56</f>
        <v>0</v>
      </c>
      <c r="O33" s="13">
        <f>Info!R56</f>
        <v>0</v>
      </c>
      <c r="P33" s="13">
        <f>Info!S56</f>
        <v>0</v>
      </c>
      <c r="Q33" s="13">
        <f>Info!T56</f>
        <v>0</v>
      </c>
      <c r="R33" s="13">
        <f>Info!U56</f>
        <v>0</v>
      </c>
      <c r="S33" s="13">
        <f>Info!V56</f>
        <v>0</v>
      </c>
      <c r="T33" s="13">
        <f>Info!W56</f>
        <v>0</v>
      </c>
      <c r="U33" s="13">
        <f>Info!X56</f>
        <v>0</v>
      </c>
      <c r="V33" s="13">
        <f>Info!Y56</f>
        <v>0</v>
      </c>
      <c r="W33" t="str">
        <f>Info!H56</f>
        <v>settings.read, settings.write</v>
      </c>
      <c r="X33" s="12"/>
    </row>
    <row r="34" spans="2:24" x14ac:dyDescent="0.2">
      <c r="B34" t="b">
        <v>0</v>
      </c>
      <c r="C34" s="14" t="str" cm="1">
        <f t="array" ref="C34">IF(B34=TRUE,NowStatic(),"")</f>
        <v/>
      </c>
      <c r="D34" s="7">
        <f>Info!I57</f>
        <v>1</v>
      </c>
      <c r="E34" t="str">
        <f>Info!A57</f>
        <v>dynatrace_disk_specific_anomalies_v2</v>
      </c>
      <c r="F34" t="str">
        <f>Info!G57</f>
        <v>Settings 2.0</v>
      </c>
      <c r="G34" s="7">
        <f>Info!J57</f>
        <v>0</v>
      </c>
      <c r="H34" s="13">
        <f>Info!K57</f>
        <v>0</v>
      </c>
      <c r="I34" s="13">
        <f>Info!L57</f>
        <v>0</v>
      </c>
      <c r="J34" s="13">
        <f>Info!M57</f>
        <v>0</v>
      </c>
      <c r="K34" s="13">
        <f>Info!N57</f>
        <v>0</v>
      </c>
      <c r="L34" s="13">
        <f>Info!O57</f>
        <v>0</v>
      </c>
      <c r="M34" s="13">
        <f>Info!P57</f>
        <v>0</v>
      </c>
      <c r="N34" s="13">
        <f>Info!Q57</f>
        <v>0</v>
      </c>
      <c r="O34" s="13">
        <f>Info!R57</f>
        <v>0</v>
      </c>
      <c r="P34" s="13">
        <f>Info!S57</f>
        <v>0</v>
      </c>
      <c r="Q34" s="13">
        <f>Info!T57</f>
        <v>0</v>
      </c>
      <c r="R34" s="13">
        <f>Info!U57</f>
        <v>0</v>
      </c>
      <c r="S34" s="13">
        <f>Info!V57</f>
        <v>0</v>
      </c>
      <c r="T34" s="13">
        <f>Info!W57</f>
        <v>0</v>
      </c>
      <c r="U34" s="13">
        <f>Info!X57</f>
        <v>0</v>
      </c>
      <c r="V34" s="13">
        <f>Info!Y57</f>
        <v>0</v>
      </c>
      <c r="W34" t="str">
        <f>Info!H57</f>
        <v>settings.read, settings.write</v>
      </c>
      <c r="X34" s="12"/>
    </row>
    <row r="35" spans="2:24" x14ac:dyDescent="0.2">
      <c r="B35" t="b">
        <v>0</v>
      </c>
      <c r="C35" s="14" t="str" cm="1">
        <f t="array" ref="C35">IF(B35=TRUE,NowStatic(),"")</f>
        <v/>
      </c>
      <c r="D35" s="7">
        <f>Info!I59</f>
        <v>1</v>
      </c>
      <c r="E35" t="str">
        <f>Info!A59</f>
        <v>dynatrace_eula_settings</v>
      </c>
      <c r="F35" t="str">
        <f>Info!G59</f>
        <v>Settings 2.0</v>
      </c>
      <c r="G35" s="7">
        <f>Info!J59</f>
        <v>0</v>
      </c>
      <c r="H35" s="13">
        <f>Info!K59</f>
        <v>0</v>
      </c>
      <c r="I35" s="13">
        <f>Info!L59</f>
        <v>0</v>
      </c>
      <c r="J35" s="13">
        <f>Info!M59</f>
        <v>0</v>
      </c>
      <c r="K35" s="13">
        <f>Info!N59</f>
        <v>0</v>
      </c>
      <c r="L35" s="13">
        <f>Info!O59</f>
        <v>0</v>
      </c>
      <c r="M35" s="13">
        <f>Info!P59</f>
        <v>0</v>
      </c>
      <c r="N35" s="13">
        <f>Info!Q59</f>
        <v>0</v>
      </c>
      <c r="O35" s="13">
        <f>Info!R59</f>
        <v>0</v>
      </c>
      <c r="P35" s="13">
        <f>Info!S59</f>
        <v>0</v>
      </c>
      <c r="Q35" s="13">
        <f>Info!T59</f>
        <v>0</v>
      </c>
      <c r="R35" s="13">
        <f>Info!U59</f>
        <v>0</v>
      </c>
      <c r="S35" s="13">
        <f>Info!V59</f>
        <v>0</v>
      </c>
      <c r="T35" s="13">
        <f>Info!W59</f>
        <v>0</v>
      </c>
      <c r="U35" s="13">
        <f>Info!X59</f>
        <v>0</v>
      </c>
      <c r="V35" s="13">
        <f>Info!Y59</f>
        <v>0</v>
      </c>
      <c r="W35" t="str">
        <f>Info!H59</f>
        <v>settings.read, settings.write</v>
      </c>
      <c r="X35" s="12"/>
    </row>
    <row r="36" spans="2:24" x14ac:dyDescent="0.2">
      <c r="B36" t="b">
        <v>0</v>
      </c>
      <c r="C36" s="14" t="str" cm="1">
        <f t="array" ref="C36">IF(B36=TRUE,NowStatic(),"")</f>
        <v/>
      </c>
      <c r="D36" s="7">
        <f>Info!I60</f>
        <v>1</v>
      </c>
      <c r="E36" t="str">
        <f>Info!A60</f>
        <v>dynatrace_extension_execution_controller</v>
      </c>
      <c r="F36" t="str">
        <f>Info!G60</f>
        <v>Settings 2.0</v>
      </c>
      <c r="G36" s="7">
        <f>Info!J60</f>
        <v>0</v>
      </c>
      <c r="H36" s="13">
        <f>Info!K60</f>
        <v>0</v>
      </c>
      <c r="I36" s="13">
        <f>Info!L60</f>
        <v>0</v>
      </c>
      <c r="J36" s="13">
        <f>Info!M60</f>
        <v>0</v>
      </c>
      <c r="K36" s="13">
        <f>Info!N60</f>
        <v>0</v>
      </c>
      <c r="L36" s="13">
        <f>Info!O60</f>
        <v>0</v>
      </c>
      <c r="M36" s="13">
        <f>Info!P60</f>
        <v>0</v>
      </c>
      <c r="N36" s="13">
        <f>Info!Q60</f>
        <v>0</v>
      </c>
      <c r="O36" s="13">
        <f>Info!R60</f>
        <v>0</v>
      </c>
      <c r="P36" s="13">
        <f>Info!S60</f>
        <v>0</v>
      </c>
      <c r="Q36" s="13">
        <f>Info!T60</f>
        <v>0</v>
      </c>
      <c r="R36" s="13">
        <f>Info!U60</f>
        <v>0</v>
      </c>
      <c r="S36" s="13">
        <f>Info!V60</f>
        <v>0</v>
      </c>
      <c r="T36" s="13">
        <f>Info!W60</f>
        <v>0</v>
      </c>
      <c r="U36" s="13">
        <f>Info!X60</f>
        <v>0</v>
      </c>
      <c r="V36" s="13">
        <f>Info!Y60</f>
        <v>0</v>
      </c>
      <c r="W36" t="str">
        <f>Info!H60</f>
        <v>settings.read, settings.write</v>
      </c>
      <c r="X36" s="12"/>
    </row>
    <row r="37" spans="2:24" x14ac:dyDescent="0.2">
      <c r="B37" t="b">
        <v>0</v>
      </c>
      <c r="C37" s="14" t="str" cm="1">
        <f t="array" ref="C37">IF(B37=TRUE,NowStatic(),"")</f>
        <v/>
      </c>
      <c r="D37" s="7">
        <f>Info!I61</f>
        <v>1</v>
      </c>
      <c r="E37" t="str">
        <f>Info!A61</f>
        <v>dynatrace_extension_execution_remote</v>
      </c>
      <c r="F37" t="str">
        <f>Info!G61</f>
        <v>Settings 2.0</v>
      </c>
      <c r="G37" s="7">
        <f>Info!J61</f>
        <v>0</v>
      </c>
      <c r="H37" s="13">
        <f>Info!K61</f>
        <v>0</v>
      </c>
      <c r="I37" s="13">
        <f>Info!L61</f>
        <v>0</v>
      </c>
      <c r="J37" s="13">
        <f>Info!M61</f>
        <v>0</v>
      </c>
      <c r="K37" s="13">
        <f>Info!N61</f>
        <v>0</v>
      </c>
      <c r="L37" s="13">
        <f>Info!O61</f>
        <v>0</v>
      </c>
      <c r="M37" s="13">
        <f>Info!P61</f>
        <v>0</v>
      </c>
      <c r="N37" s="13">
        <f>Info!Q61</f>
        <v>0</v>
      </c>
      <c r="O37" s="13">
        <f>Info!R61</f>
        <v>0</v>
      </c>
      <c r="P37" s="13">
        <f>Info!S61</f>
        <v>0</v>
      </c>
      <c r="Q37" s="13">
        <f>Info!T61</f>
        <v>0</v>
      </c>
      <c r="R37" s="13">
        <f>Info!U61</f>
        <v>0</v>
      </c>
      <c r="S37" s="13">
        <f>Info!V61</f>
        <v>0</v>
      </c>
      <c r="T37" s="13">
        <f>Info!W61</f>
        <v>0</v>
      </c>
      <c r="U37" s="13">
        <f>Info!X61</f>
        <v>0</v>
      </c>
      <c r="V37" s="13">
        <f>Info!Y61</f>
        <v>0</v>
      </c>
      <c r="W37" t="str">
        <f>Info!H61</f>
        <v>settings.read, settings.write</v>
      </c>
      <c r="X37" s="12"/>
    </row>
    <row r="38" spans="2:24" x14ac:dyDescent="0.2">
      <c r="B38" t="b">
        <v>0</v>
      </c>
      <c r="C38" s="14" t="str" cm="1">
        <f t="array" ref="C38">IF(B38=TRUE,NowStatic(),"")</f>
        <v/>
      </c>
      <c r="D38" s="7">
        <f>Info!I62</f>
        <v>1</v>
      </c>
      <c r="E38" t="str">
        <f>Info!A62</f>
        <v>dynatrace_failure_detection_parameters</v>
      </c>
      <c r="F38" t="str">
        <f>Info!G62</f>
        <v>Settings 2.0</v>
      </c>
      <c r="G38" s="7">
        <f>Info!J62</f>
        <v>0</v>
      </c>
      <c r="H38" s="13">
        <f>Info!K62</f>
        <v>0</v>
      </c>
      <c r="I38" s="13">
        <f>Info!L62</f>
        <v>0</v>
      </c>
      <c r="J38" s="13">
        <f>Info!M62</f>
        <v>0</v>
      </c>
      <c r="K38" s="13">
        <f>Info!N62</f>
        <v>0</v>
      </c>
      <c r="L38" s="13">
        <f>Info!O62</f>
        <v>0</v>
      </c>
      <c r="M38" s="13">
        <f>Info!P62</f>
        <v>0</v>
      </c>
      <c r="N38" s="13">
        <f>Info!Q62</f>
        <v>0</v>
      </c>
      <c r="O38" s="13">
        <f>Info!R62</f>
        <v>0</v>
      </c>
      <c r="P38" s="13">
        <f>Info!S62</f>
        <v>0</v>
      </c>
      <c r="Q38" s="13">
        <f>Info!T62</f>
        <v>0</v>
      </c>
      <c r="R38" s="13">
        <f>Info!U62</f>
        <v>0</v>
      </c>
      <c r="S38" s="13">
        <f>Info!V62</f>
        <v>0</v>
      </c>
      <c r="T38" s="13">
        <f>Info!W62</f>
        <v>0</v>
      </c>
      <c r="U38" s="13">
        <f>Info!X62</f>
        <v>0</v>
      </c>
      <c r="V38" s="13">
        <f>Info!Y62</f>
        <v>0</v>
      </c>
      <c r="W38" t="str">
        <f>Info!H62</f>
        <v>settings.read, settings.write</v>
      </c>
      <c r="X38" s="12"/>
    </row>
    <row r="39" spans="2:24" x14ac:dyDescent="0.2">
      <c r="B39" t="b">
        <v>0</v>
      </c>
      <c r="C39" s="14" t="str" cm="1">
        <f t="array" ref="C39">IF(B39=TRUE,NowStatic(),"")</f>
        <v/>
      </c>
      <c r="D39" s="7">
        <f>Info!I64</f>
        <v>1</v>
      </c>
      <c r="E39" t="str">
        <f>Info!A64</f>
        <v>dynatrace_frequent_issues</v>
      </c>
      <c r="F39" t="str">
        <f>Info!G64</f>
        <v>Settings 2.0</v>
      </c>
      <c r="G39" s="7">
        <f>Info!J64</f>
        <v>0</v>
      </c>
      <c r="H39" s="13">
        <f>Info!K64</f>
        <v>0</v>
      </c>
      <c r="I39" s="13">
        <f>Info!L64</f>
        <v>0</v>
      </c>
      <c r="J39" s="13">
        <f>Info!M64</f>
        <v>0</v>
      </c>
      <c r="K39" s="13">
        <f>Info!N64</f>
        <v>0</v>
      </c>
      <c r="L39" s="13">
        <f>Info!O64</f>
        <v>0</v>
      </c>
      <c r="M39" s="13">
        <f>Info!P64</f>
        <v>0</v>
      </c>
      <c r="N39" s="13">
        <f>Info!Q64</f>
        <v>0</v>
      </c>
      <c r="O39" s="13">
        <f>Info!R64</f>
        <v>0</v>
      </c>
      <c r="P39" s="13">
        <f>Info!S64</f>
        <v>0</v>
      </c>
      <c r="Q39" s="13">
        <f>Info!T64</f>
        <v>0</v>
      </c>
      <c r="R39" s="13">
        <f>Info!U64</f>
        <v>0</v>
      </c>
      <c r="S39" s="13">
        <f>Info!V64</f>
        <v>0</v>
      </c>
      <c r="T39" s="13">
        <f>Info!W64</f>
        <v>0</v>
      </c>
      <c r="U39" s="13">
        <f>Info!X64</f>
        <v>0</v>
      </c>
      <c r="V39" s="13">
        <f>Info!Y64</f>
        <v>0</v>
      </c>
      <c r="W39" t="str">
        <f>Info!H64</f>
        <v>settings.read, settings.write</v>
      </c>
      <c r="X39" s="12"/>
    </row>
    <row r="40" spans="2:24" x14ac:dyDescent="0.2">
      <c r="B40" t="b">
        <v>0</v>
      </c>
      <c r="C40" s="14" t="str" cm="1">
        <f t="array" ref="C40">IF(B40=TRUE,NowStatic(),"")</f>
        <v/>
      </c>
      <c r="D40" s="7">
        <f>Info!I65</f>
        <v>1</v>
      </c>
      <c r="E40" t="str">
        <f>Info!A65</f>
        <v>dynatrace_generic_relationships</v>
      </c>
      <c r="F40" t="str">
        <f>Info!G65</f>
        <v>Settings 2.0</v>
      </c>
      <c r="G40" s="7">
        <f>Info!J65</f>
        <v>0</v>
      </c>
      <c r="H40" s="13">
        <f>Info!K65</f>
        <v>0</v>
      </c>
      <c r="I40" s="13">
        <f>Info!L65</f>
        <v>0</v>
      </c>
      <c r="J40" s="13">
        <f>Info!M65</f>
        <v>0</v>
      </c>
      <c r="K40" s="13">
        <f>Info!N65</f>
        <v>0</v>
      </c>
      <c r="L40" s="13">
        <f>Info!O65</f>
        <v>0</v>
      </c>
      <c r="M40" s="13">
        <f>Info!P65</f>
        <v>0</v>
      </c>
      <c r="N40" s="13">
        <f>Info!Q65</f>
        <v>0</v>
      </c>
      <c r="O40" s="13">
        <f>Info!R65</f>
        <v>0</v>
      </c>
      <c r="P40" s="13">
        <f>Info!S65</f>
        <v>0</v>
      </c>
      <c r="Q40" s="13">
        <f>Info!T65</f>
        <v>0</v>
      </c>
      <c r="R40" s="13">
        <f>Info!U65</f>
        <v>0</v>
      </c>
      <c r="S40" s="13">
        <f>Info!V65</f>
        <v>0</v>
      </c>
      <c r="T40" s="13">
        <f>Info!W65</f>
        <v>0</v>
      </c>
      <c r="U40" s="13">
        <f>Info!X65</f>
        <v>0</v>
      </c>
      <c r="V40" s="13">
        <f>Info!Y65</f>
        <v>0</v>
      </c>
      <c r="W40" t="str">
        <f>Info!H65</f>
        <v>settings.read, settings.write</v>
      </c>
      <c r="X40" s="12"/>
    </row>
    <row r="41" spans="2:24" x14ac:dyDescent="0.2">
      <c r="B41" t="b">
        <v>0</v>
      </c>
      <c r="C41" s="14" t="str" cm="1">
        <f t="array" ref="C41">IF(B41=TRUE,NowStatic(),"")</f>
        <v/>
      </c>
      <c r="D41" s="7">
        <f>Info!I66</f>
        <v>1</v>
      </c>
      <c r="E41" t="str">
        <f>Info!A66</f>
        <v>dynatrace_generic_types</v>
      </c>
      <c r="F41" t="str">
        <f>Info!G66</f>
        <v>Settings 2.0</v>
      </c>
      <c r="G41" s="7">
        <f>Info!J66</f>
        <v>0</v>
      </c>
      <c r="H41" s="13">
        <f>Info!K66</f>
        <v>0</v>
      </c>
      <c r="I41" s="13">
        <f>Info!L66</f>
        <v>0</v>
      </c>
      <c r="J41" s="13">
        <f>Info!M66</f>
        <v>0</v>
      </c>
      <c r="K41" s="13">
        <f>Info!N66</f>
        <v>0</v>
      </c>
      <c r="L41" s="13">
        <f>Info!O66</f>
        <v>0</v>
      </c>
      <c r="M41" s="13">
        <f>Info!P66</f>
        <v>0</v>
      </c>
      <c r="N41" s="13">
        <f>Info!Q66</f>
        <v>0</v>
      </c>
      <c r="O41" s="13">
        <f>Info!R66</f>
        <v>0</v>
      </c>
      <c r="P41" s="13">
        <f>Info!S66</f>
        <v>0</v>
      </c>
      <c r="Q41" s="13">
        <f>Info!T66</f>
        <v>0</v>
      </c>
      <c r="R41" s="13">
        <f>Info!U66</f>
        <v>0</v>
      </c>
      <c r="S41" s="13">
        <f>Info!V66</f>
        <v>0</v>
      </c>
      <c r="T41" s="13">
        <f>Info!W66</f>
        <v>0</v>
      </c>
      <c r="U41" s="13">
        <f>Info!X66</f>
        <v>0</v>
      </c>
      <c r="V41" s="13">
        <f>Info!Y66</f>
        <v>0</v>
      </c>
      <c r="W41" t="str">
        <f>Info!H66</f>
        <v>settings.read, settings.write</v>
      </c>
      <c r="X41" s="12"/>
    </row>
    <row r="42" spans="2:24" x14ac:dyDescent="0.2">
      <c r="B42" t="b">
        <v>0</v>
      </c>
      <c r="C42" s="14" t="str" cm="1">
        <f t="array" ref="C42">IF(B42=TRUE,NowStatic(),"")</f>
        <v/>
      </c>
      <c r="D42" s="7">
        <f>Info!I67</f>
        <v>1</v>
      </c>
      <c r="E42" t="str">
        <f>Info!A67</f>
        <v>dynatrace_geolocation</v>
      </c>
      <c r="F42" t="str">
        <f>Info!G67</f>
        <v>Settings 2.0</v>
      </c>
      <c r="G42" s="7">
        <f>Info!J67</f>
        <v>0</v>
      </c>
      <c r="H42" s="13">
        <f>Info!K67</f>
        <v>0</v>
      </c>
      <c r="I42" s="13">
        <f>Info!L67</f>
        <v>0</v>
      </c>
      <c r="J42" s="13">
        <f>Info!M67</f>
        <v>0</v>
      </c>
      <c r="K42" s="13">
        <f>Info!N67</f>
        <v>0</v>
      </c>
      <c r="L42" s="13">
        <f>Info!O67</f>
        <v>0</v>
      </c>
      <c r="M42" s="13">
        <f>Info!P67</f>
        <v>0</v>
      </c>
      <c r="N42" s="13">
        <f>Info!Q67</f>
        <v>0</v>
      </c>
      <c r="O42" s="13">
        <f>Info!R67</f>
        <v>0</v>
      </c>
      <c r="P42" s="13">
        <f>Info!S67</f>
        <v>0</v>
      </c>
      <c r="Q42" s="13">
        <f>Info!T67</f>
        <v>0</v>
      </c>
      <c r="R42" s="13">
        <f>Info!U67</f>
        <v>0</v>
      </c>
      <c r="S42" s="13">
        <f>Info!V67</f>
        <v>0</v>
      </c>
      <c r="T42" s="13">
        <f>Info!W67</f>
        <v>0</v>
      </c>
      <c r="U42" s="13">
        <f>Info!X67</f>
        <v>0</v>
      </c>
      <c r="V42" s="13">
        <f>Info!Y67</f>
        <v>0</v>
      </c>
      <c r="W42" t="str">
        <f>Info!H67</f>
        <v>settings.read, settings.write</v>
      </c>
      <c r="X42" s="12"/>
    </row>
    <row r="43" spans="2:24" x14ac:dyDescent="0.2">
      <c r="B43" t="b">
        <v>0</v>
      </c>
      <c r="C43" s="14" t="str" cm="1">
        <f t="array" ref="C43">IF(B43=TRUE,NowStatic(),"")</f>
        <v/>
      </c>
      <c r="D43" s="7">
        <f>Info!I69</f>
        <v>1</v>
      </c>
      <c r="E43" t="str">
        <f>Info!A69</f>
        <v>dynatrace_host_anomalies_v2</v>
      </c>
      <c r="F43" t="str">
        <f>Info!G69</f>
        <v>Settings 2.0</v>
      </c>
      <c r="G43" s="7">
        <f>Info!J69</f>
        <v>0</v>
      </c>
      <c r="H43" s="13">
        <f>Info!K69</f>
        <v>0</v>
      </c>
      <c r="I43" s="13">
        <f>Info!L69</f>
        <v>0</v>
      </c>
      <c r="J43" s="13">
        <f>Info!M69</f>
        <v>0</v>
      </c>
      <c r="K43" s="13">
        <f>Info!N69</f>
        <v>0</v>
      </c>
      <c r="L43" s="13">
        <f>Info!O69</f>
        <v>0</v>
      </c>
      <c r="M43" s="13">
        <f>Info!P69</f>
        <v>0</v>
      </c>
      <c r="N43" s="13">
        <f>Info!Q69</f>
        <v>0</v>
      </c>
      <c r="O43" s="13">
        <f>Info!R69</f>
        <v>0</v>
      </c>
      <c r="P43" s="13">
        <f>Info!S69</f>
        <v>0</v>
      </c>
      <c r="Q43" s="13">
        <f>Info!T69</f>
        <v>0</v>
      </c>
      <c r="R43" s="13">
        <f>Info!U69</f>
        <v>0</v>
      </c>
      <c r="S43" s="13">
        <f>Info!V69</f>
        <v>0</v>
      </c>
      <c r="T43" s="13">
        <f>Info!W69</f>
        <v>0</v>
      </c>
      <c r="U43" s="13">
        <f>Info!X69</f>
        <v>0</v>
      </c>
      <c r="V43" s="13">
        <f>Info!Y69</f>
        <v>0</v>
      </c>
      <c r="W43" t="str">
        <f>Info!H69</f>
        <v>settings.read, settings.write</v>
      </c>
      <c r="X43" s="12"/>
    </row>
    <row r="44" spans="2:24" x14ac:dyDescent="0.2">
      <c r="B44" t="b">
        <v>0</v>
      </c>
      <c r="C44" s="14" t="str" cm="1">
        <f t="array" ref="C44">IF(B44=TRUE,NowStatic(),"")</f>
        <v/>
      </c>
      <c r="D44" s="7">
        <f>Info!I70</f>
        <v>1</v>
      </c>
      <c r="E44" t="str">
        <f>Info!A70</f>
        <v>dynatrace_host_monitoring</v>
      </c>
      <c r="F44" t="str">
        <f>Info!G70</f>
        <v>Settings 2.0</v>
      </c>
      <c r="G44" s="7">
        <f>Info!J70</f>
        <v>0</v>
      </c>
      <c r="H44" s="13">
        <f>Info!K70</f>
        <v>0</v>
      </c>
      <c r="I44" s="13">
        <f>Info!L70</f>
        <v>0</v>
      </c>
      <c r="J44" s="13">
        <f>Info!M70</f>
        <v>0</v>
      </c>
      <c r="K44" s="13">
        <f>Info!N70</f>
        <v>0</v>
      </c>
      <c r="L44" s="13">
        <f>Info!O70</f>
        <v>0</v>
      </c>
      <c r="M44" s="13">
        <f>Info!P70</f>
        <v>0</v>
      </c>
      <c r="N44" s="13">
        <f>Info!Q70</f>
        <v>0</v>
      </c>
      <c r="O44" s="13">
        <f>Info!R70</f>
        <v>0</v>
      </c>
      <c r="P44" s="13">
        <f>Info!S70</f>
        <v>0</v>
      </c>
      <c r="Q44" s="13">
        <f>Info!T70</f>
        <v>0</v>
      </c>
      <c r="R44" s="13">
        <f>Info!U70</f>
        <v>0</v>
      </c>
      <c r="S44" s="13">
        <f>Info!V70</f>
        <v>0</v>
      </c>
      <c r="T44" s="13">
        <f>Info!W70</f>
        <v>0</v>
      </c>
      <c r="U44" s="13">
        <f>Info!X70</f>
        <v>0</v>
      </c>
      <c r="V44" s="13">
        <f>Info!Y70</f>
        <v>0</v>
      </c>
      <c r="W44" t="str">
        <f>Info!H70</f>
        <v>settings.read, settings.write</v>
      </c>
      <c r="X44" s="12"/>
    </row>
    <row r="45" spans="2:24" x14ac:dyDescent="0.2">
      <c r="B45" t="b">
        <v>0</v>
      </c>
      <c r="C45" s="14" t="str" cm="1">
        <f t="array" ref="C45">IF(B45=TRUE,NowStatic(),"")</f>
        <v/>
      </c>
      <c r="D45" s="7">
        <f>Info!I71</f>
        <v>1</v>
      </c>
      <c r="E45" t="str">
        <f>Info!A71</f>
        <v>dynatrace_host_naming</v>
      </c>
      <c r="F45" t="str">
        <f>Info!G71</f>
        <v>Config</v>
      </c>
      <c r="G45" s="7">
        <f>Info!J71</f>
        <v>0</v>
      </c>
      <c r="H45" s="13">
        <f>Info!K71</f>
        <v>0</v>
      </c>
      <c r="I45" s="13">
        <f>Info!L71</f>
        <v>0</v>
      </c>
      <c r="J45" s="13">
        <f>Info!M71</f>
        <v>0</v>
      </c>
      <c r="K45" s="13">
        <f>Info!N71</f>
        <v>0</v>
      </c>
      <c r="L45" s="13">
        <f>Info!O71</f>
        <v>0</v>
      </c>
      <c r="M45" s="13">
        <f>Info!P71</f>
        <v>0</v>
      </c>
      <c r="N45" s="13">
        <f>Info!Q71</f>
        <v>0</v>
      </c>
      <c r="O45" s="13">
        <f>Info!R71</f>
        <v>0</v>
      </c>
      <c r="P45" s="13">
        <f>Info!S71</f>
        <v>0</v>
      </c>
      <c r="Q45" s="13">
        <f>Info!T71</f>
        <v>0</v>
      </c>
      <c r="R45" s="13">
        <f>Info!U71</f>
        <v>0</v>
      </c>
      <c r="S45" s="13">
        <f>Info!V71</f>
        <v>0</v>
      </c>
      <c r="T45" s="13">
        <f>Info!W71</f>
        <v>0</v>
      </c>
      <c r="U45" s="13">
        <f>Info!X71</f>
        <v>0</v>
      </c>
      <c r="V45" s="13">
        <f>Info!Y71</f>
        <v>0</v>
      </c>
      <c r="W45" t="str">
        <f>Info!H71</f>
        <v>ReadConfig, WriteConfig</v>
      </c>
      <c r="X45" s="12"/>
    </row>
    <row r="46" spans="2:24" x14ac:dyDescent="0.2">
      <c r="B46" t="b">
        <v>0</v>
      </c>
      <c r="C46" s="14" t="str" cm="1">
        <f t="array" ref="C46">IF(B46=TRUE,NowStatic(),"")</f>
        <v/>
      </c>
      <c r="D46" s="7">
        <f>Info!I72</f>
        <v>1</v>
      </c>
      <c r="E46" t="str">
        <f>Info!A72</f>
        <v>dynatrace_host_process_group_monitoring</v>
      </c>
      <c r="F46" t="str">
        <f>Info!G72</f>
        <v>Settings 2.0</v>
      </c>
      <c r="G46" s="7">
        <f>Info!J72</f>
        <v>0</v>
      </c>
      <c r="H46" s="13">
        <f>Info!K72</f>
        <v>0</v>
      </c>
      <c r="I46" s="13">
        <f>Info!L72</f>
        <v>0</v>
      </c>
      <c r="J46" s="13">
        <f>Info!M72</f>
        <v>0</v>
      </c>
      <c r="K46" s="13">
        <f>Info!N72</f>
        <v>0</v>
      </c>
      <c r="L46" s="13">
        <f>Info!O72</f>
        <v>0</v>
      </c>
      <c r="M46" s="13">
        <f>Info!P72</f>
        <v>0</v>
      </c>
      <c r="N46" s="13">
        <f>Info!Q72</f>
        <v>0</v>
      </c>
      <c r="O46" s="13">
        <f>Info!R72</f>
        <v>0</v>
      </c>
      <c r="P46" s="13">
        <f>Info!S72</f>
        <v>0</v>
      </c>
      <c r="Q46" s="13">
        <f>Info!T72</f>
        <v>0</v>
      </c>
      <c r="R46" s="13">
        <f>Info!U72</f>
        <v>0</v>
      </c>
      <c r="S46" s="13">
        <f>Info!V72</f>
        <v>0</v>
      </c>
      <c r="T46" s="13">
        <f>Info!W72</f>
        <v>0</v>
      </c>
      <c r="U46" s="13">
        <f>Info!X72</f>
        <v>0</v>
      </c>
      <c r="V46" s="13">
        <f>Info!Y72</f>
        <v>0</v>
      </c>
      <c r="W46" t="str">
        <f>Info!H72</f>
        <v>settings.read, settings.write</v>
      </c>
      <c r="X46" s="12"/>
    </row>
    <row r="47" spans="2:24" x14ac:dyDescent="0.2">
      <c r="B47" t="b">
        <v>0</v>
      </c>
      <c r="C47" s="14" t="str" cm="1">
        <f t="array" ref="C47">IF(B47=TRUE,NowStatic(),"")</f>
        <v/>
      </c>
      <c r="D47" s="7">
        <f>Info!I82</f>
        <v>1</v>
      </c>
      <c r="E47" t="str">
        <f>Info!A82</f>
        <v>dynatrace_ibm_mq_filters</v>
      </c>
      <c r="F47" t="str">
        <f>Info!G82</f>
        <v>Settings 2.0</v>
      </c>
      <c r="G47" s="7">
        <f>Info!J82</f>
        <v>0</v>
      </c>
      <c r="H47" s="13">
        <f>Info!K82</f>
        <v>0</v>
      </c>
      <c r="I47" s="13">
        <f>Info!L82</f>
        <v>0</v>
      </c>
      <c r="J47" s="13">
        <f>Info!M82</f>
        <v>0</v>
      </c>
      <c r="K47" s="13">
        <f>Info!N82</f>
        <v>0</v>
      </c>
      <c r="L47" s="13">
        <f>Info!O82</f>
        <v>0</v>
      </c>
      <c r="M47" s="13">
        <f>Info!P82</f>
        <v>0</v>
      </c>
      <c r="N47" s="13">
        <f>Info!Q82</f>
        <v>0</v>
      </c>
      <c r="O47" s="13">
        <f>Info!R82</f>
        <v>0</v>
      </c>
      <c r="P47" s="13">
        <f>Info!S82</f>
        <v>0</v>
      </c>
      <c r="Q47" s="13">
        <f>Info!T82</f>
        <v>0</v>
      </c>
      <c r="R47" s="13">
        <f>Info!U82</f>
        <v>0</v>
      </c>
      <c r="S47" s="13">
        <f>Info!V82</f>
        <v>0</v>
      </c>
      <c r="T47" s="13">
        <f>Info!W82</f>
        <v>0</v>
      </c>
      <c r="U47" s="13">
        <f>Info!X82</f>
        <v>0</v>
      </c>
      <c r="V47" s="13">
        <f>Info!Y82</f>
        <v>0</v>
      </c>
      <c r="W47" t="str">
        <f>Info!H82</f>
        <v>settings.read, settings.write</v>
      </c>
      <c r="X47" s="12"/>
    </row>
    <row r="48" spans="2:24" x14ac:dyDescent="0.2">
      <c r="B48" t="b">
        <v>0</v>
      </c>
      <c r="C48" s="14" t="str" cm="1">
        <f t="array" ref="C48">IF(B48=TRUE,NowStatic(),"")</f>
        <v/>
      </c>
      <c r="D48" s="7">
        <f>Info!I83</f>
        <v>1</v>
      </c>
      <c r="E48" t="str">
        <f>Info!A83</f>
        <v>dynatrace_ims_bridges</v>
      </c>
      <c r="F48" t="str">
        <f>Info!G83</f>
        <v>Settings 2.0</v>
      </c>
      <c r="G48" s="7">
        <f>Info!J83</f>
        <v>0</v>
      </c>
      <c r="H48" s="13">
        <f>Info!K83</f>
        <v>0</v>
      </c>
      <c r="I48" s="13">
        <f>Info!L83</f>
        <v>0</v>
      </c>
      <c r="J48" s="13">
        <f>Info!M83</f>
        <v>0</v>
      </c>
      <c r="K48" s="13">
        <f>Info!N83</f>
        <v>0</v>
      </c>
      <c r="L48" s="13">
        <f>Info!O83</f>
        <v>0</v>
      </c>
      <c r="M48" s="13">
        <f>Info!P83</f>
        <v>0</v>
      </c>
      <c r="N48" s="13">
        <f>Info!Q83</f>
        <v>0</v>
      </c>
      <c r="O48" s="13">
        <f>Info!R83</f>
        <v>0</v>
      </c>
      <c r="P48" s="13">
        <f>Info!S83</f>
        <v>0</v>
      </c>
      <c r="Q48" s="13">
        <f>Info!T83</f>
        <v>0</v>
      </c>
      <c r="R48" s="13">
        <f>Info!U83</f>
        <v>0</v>
      </c>
      <c r="S48" s="13">
        <f>Info!V83</f>
        <v>0</v>
      </c>
      <c r="T48" s="13">
        <f>Info!W83</f>
        <v>0</v>
      </c>
      <c r="U48" s="13">
        <f>Info!X83</f>
        <v>0</v>
      </c>
      <c r="V48" s="13">
        <f>Info!Y83</f>
        <v>0</v>
      </c>
      <c r="W48" t="str">
        <f>Info!H83</f>
        <v>settings.read, settings.write</v>
      </c>
      <c r="X48" s="12"/>
    </row>
    <row r="49" spans="2:24" x14ac:dyDescent="0.2">
      <c r="B49" t="b">
        <v>0</v>
      </c>
      <c r="C49" s="14" t="str" cm="1">
        <f t="array" ref="C49">IF(B49=TRUE,NowStatic(),"")</f>
        <v/>
      </c>
      <c r="D49" s="7">
        <f>Info!I84</f>
        <v>1</v>
      </c>
      <c r="E49" t="str">
        <f>Info!A84</f>
        <v>dynatrace_issue_tracking</v>
      </c>
      <c r="F49" t="str">
        <f>Info!G84</f>
        <v>Settings 2.0</v>
      </c>
      <c r="G49" s="7">
        <f>Info!J84</f>
        <v>0</v>
      </c>
      <c r="H49" s="13">
        <f>Info!K84</f>
        <v>0</v>
      </c>
      <c r="I49" s="13">
        <f>Info!L84</f>
        <v>0</v>
      </c>
      <c r="J49" s="13">
        <f>Info!M84</f>
        <v>0</v>
      </c>
      <c r="K49" s="13">
        <f>Info!N84</f>
        <v>0</v>
      </c>
      <c r="L49" s="13">
        <f>Info!O84</f>
        <v>0</v>
      </c>
      <c r="M49" s="13">
        <f>Info!P84</f>
        <v>0</v>
      </c>
      <c r="N49" s="13">
        <f>Info!Q84</f>
        <v>0</v>
      </c>
      <c r="O49" s="13">
        <f>Info!R84</f>
        <v>0</v>
      </c>
      <c r="P49" s="13">
        <f>Info!S84</f>
        <v>0</v>
      </c>
      <c r="Q49" s="13">
        <f>Info!T84</f>
        <v>0</v>
      </c>
      <c r="R49" s="13">
        <f>Info!U84</f>
        <v>0</v>
      </c>
      <c r="S49" s="13">
        <f>Info!V84</f>
        <v>0</v>
      </c>
      <c r="T49" s="13">
        <f>Info!W84</f>
        <v>0</v>
      </c>
      <c r="U49" s="13">
        <f>Info!X84</f>
        <v>0</v>
      </c>
      <c r="V49" s="13">
        <f>Info!Y84</f>
        <v>0</v>
      </c>
      <c r="W49" t="str">
        <f>Info!H84</f>
        <v>settings.read, settings.write</v>
      </c>
      <c r="X49" s="12"/>
    </row>
    <row r="50" spans="2:24" x14ac:dyDescent="0.2">
      <c r="B50" t="b">
        <v>0</v>
      </c>
      <c r="C50" s="14" t="str" cm="1">
        <f t="array" ref="C50">IF(B50=TRUE,NowStatic(),"")</f>
        <v/>
      </c>
      <c r="D50" s="7">
        <f>Info!I87</f>
        <v>1</v>
      </c>
      <c r="E50" t="str">
        <f>Info!A87</f>
        <v>dynatrace_k8s_cluster_anomalies</v>
      </c>
      <c r="F50" t="str">
        <f>Info!G87</f>
        <v>Settings 2.0</v>
      </c>
      <c r="G50" s="7">
        <f>Info!J87</f>
        <v>0</v>
      </c>
      <c r="H50" s="13">
        <f>Info!K87</f>
        <v>0</v>
      </c>
      <c r="I50" s="13">
        <f>Info!L87</f>
        <v>0</v>
      </c>
      <c r="J50" s="13">
        <f>Info!M87</f>
        <v>0</v>
      </c>
      <c r="K50" s="13">
        <f>Info!N87</f>
        <v>0</v>
      </c>
      <c r="L50" s="13">
        <f>Info!O87</f>
        <v>0</v>
      </c>
      <c r="M50" s="13">
        <f>Info!P87</f>
        <v>0</v>
      </c>
      <c r="N50" s="13">
        <f>Info!Q87</f>
        <v>0</v>
      </c>
      <c r="O50" s="13">
        <f>Info!R87</f>
        <v>0</v>
      </c>
      <c r="P50" s="13">
        <f>Info!S87</f>
        <v>0</v>
      </c>
      <c r="Q50" s="13">
        <f>Info!T87</f>
        <v>0</v>
      </c>
      <c r="R50" s="13">
        <f>Info!U87</f>
        <v>0</v>
      </c>
      <c r="S50" s="13">
        <f>Info!V87</f>
        <v>0</v>
      </c>
      <c r="T50" s="13">
        <f>Info!W87</f>
        <v>0</v>
      </c>
      <c r="U50" s="13">
        <f>Info!X87</f>
        <v>0</v>
      </c>
      <c r="V50" s="13">
        <f>Info!Y87</f>
        <v>0</v>
      </c>
      <c r="W50" t="str">
        <f>Info!H87</f>
        <v>settings.read, settings.write</v>
      </c>
      <c r="X50" s="12"/>
    </row>
    <row r="51" spans="2:24" x14ac:dyDescent="0.2">
      <c r="B51" t="b">
        <v>0</v>
      </c>
      <c r="C51" s="14" t="str" cm="1">
        <f t="array" ref="C51">IF(B51=TRUE,NowStatic(),"")</f>
        <v/>
      </c>
      <c r="D51" s="7">
        <f>Info!I89</f>
        <v>1</v>
      </c>
      <c r="E51" t="str">
        <f>Info!A89</f>
        <v>dynatrace_k8s_namespace_anomalies</v>
      </c>
      <c r="F51" t="str">
        <f>Info!G89</f>
        <v>Settings 2.0</v>
      </c>
      <c r="G51" s="7">
        <f>Info!J89</f>
        <v>0</v>
      </c>
      <c r="H51" s="13">
        <f>Info!K89</f>
        <v>0</v>
      </c>
      <c r="I51" s="13">
        <f>Info!L89</f>
        <v>0</v>
      </c>
      <c r="J51" s="13">
        <f>Info!M89</f>
        <v>0</v>
      </c>
      <c r="K51" s="13">
        <f>Info!N89</f>
        <v>0</v>
      </c>
      <c r="L51" s="13">
        <f>Info!O89</f>
        <v>0</v>
      </c>
      <c r="M51" s="13">
        <f>Info!P89</f>
        <v>0</v>
      </c>
      <c r="N51" s="13">
        <f>Info!Q89</f>
        <v>0</v>
      </c>
      <c r="O51" s="13">
        <f>Info!R89</f>
        <v>0</v>
      </c>
      <c r="P51" s="13">
        <f>Info!S89</f>
        <v>0</v>
      </c>
      <c r="Q51" s="13">
        <f>Info!T89</f>
        <v>0</v>
      </c>
      <c r="R51" s="13">
        <f>Info!U89</f>
        <v>0</v>
      </c>
      <c r="S51" s="13">
        <f>Info!V89</f>
        <v>0</v>
      </c>
      <c r="T51" s="13">
        <f>Info!W89</f>
        <v>0</v>
      </c>
      <c r="U51" s="13">
        <f>Info!X89</f>
        <v>0</v>
      </c>
      <c r="V51" s="13">
        <f>Info!Y89</f>
        <v>0</v>
      </c>
      <c r="W51" t="str">
        <f>Info!H89</f>
        <v>settings.read, settings.write</v>
      </c>
      <c r="X51" s="12"/>
    </row>
    <row r="52" spans="2:24" x14ac:dyDescent="0.2">
      <c r="B52" t="b">
        <v>0</v>
      </c>
      <c r="C52" s="14" t="str" cm="1">
        <f t="array" ref="C52">IF(B52=TRUE,NowStatic(),"")</f>
        <v/>
      </c>
      <c r="D52" s="7">
        <f>Info!I90</f>
        <v>1</v>
      </c>
      <c r="E52" t="str">
        <f>Info!A90</f>
        <v>dynatrace_k8s_node_anomalies</v>
      </c>
      <c r="F52" t="str">
        <f>Info!G90</f>
        <v>Settings 2.0</v>
      </c>
      <c r="G52" s="7">
        <f>Info!J90</f>
        <v>0</v>
      </c>
      <c r="H52" s="13">
        <f>Info!K90</f>
        <v>0</v>
      </c>
      <c r="I52" s="13">
        <f>Info!L90</f>
        <v>0</v>
      </c>
      <c r="J52" s="13">
        <f>Info!M90</f>
        <v>0</v>
      </c>
      <c r="K52" s="13">
        <f>Info!N90</f>
        <v>0</v>
      </c>
      <c r="L52" s="13">
        <f>Info!O90</f>
        <v>0</v>
      </c>
      <c r="M52" s="13">
        <f>Info!P90</f>
        <v>0</v>
      </c>
      <c r="N52" s="13">
        <f>Info!Q90</f>
        <v>0</v>
      </c>
      <c r="O52" s="13">
        <f>Info!R90</f>
        <v>0</v>
      </c>
      <c r="P52" s="13">
        <f>Info!S90</f>
        <v>0</v>
      </c>
      <c r="Q52" s="13">
        <f>Info!T90</f>
        <v>0</v>
      </c>
      <c r="R52" s="13">
        <f>Info!U90</f>
        <v>0</v>
      </c>
      <c r="S52" s="13">
        <f>Info!V90</f>
        <v>0</v>
      </c>
      <c r="T52" s="13">
        <f>Info!W90</f>
        <v>0</v>
      </c>
      <c r="U52" s="13">
        <f>Info!X90</f>
        <v>0</v>
      </c>
      <c r="V52" s="13">
        <f>Info!Y90</f>
        <v>0</v>
      </c>
      <c r="W52" t="str">
        <f>Info!H90</f>
        <v>settings.read, settings.write</v>
      </c>
      <c r="X52" s="12"/>
    </row>
    <row r="53" spans="2:24" x14ac:dyDescent="0.2">
      <c r="B53" t="b">
        <v>0</v>
      </c>
      <c r="C53" s="14" t="str" cm="1">
        <f t="array" ref="C53">IF(B53=TRUE,NowStatic(),"")</f>
        <v/>
      </c>
      <c r="D53" s="7">
        <f>Info!I91</f>
        <v>1</v>
      </c>
      <c r="E53" t="str">
        <f>Info!A91</f>
        <v>dynatrace_k8s_pvc_anomalies</v>
      </c>
      <c r="F53" t="str">
        <f>Info!G91</f>
        <v>Settings 2.0</v>
      </c>
      <c r="G53" s="7">
        <f>Info!J91</f>
        <v>0</v>
      </c>
      <c r="H53" s="13">
        <f>Info!K91</f>
        <v>0</v>
      </c>
      <c r="I53" s="13">
        <f>Info!L91</f>
        <v>0</v>
      </c>
      <c r="J53" s="13">
        <f>Info!M91</f>
        <v>0</v>
      </c>
      <c r="K53" s="13">
        <f>Info!N91</f>
        <v>0</v>
      </c>
      <c r="L53" s="13">
        <f>Info!O91</f>
        <v>0</v>
      </c>
      <c r="M53" s="13">
        <f>Info!P91</f>
        <v>0</v>
      </c>
      <c r="N53" s="13">
        <f>Info!Q91</f>
        <v>0</v>
      </c>
      <c r="O53" s="13">
        <f>Info!R91</f>
        <v>0</v>
      </c>
      <c r="P53" s="13">
        <f>Info!S91</f>
        <v>0</v>
      </c>
      <c r="Q53" s="13">
        <f>Info!T91</f>
        <v>0</v>
      </c>
      <c r="R53" s="13">
        <f>Info!U91</f>
        <v>0</v>
      </c>
      <c r="S53" s="13">
        <f>Info!V91</f>
        <v>0</v>
      </c>
      <c r="T53" s="13">
        <f>Info!W91</f>
        <v>0</v>
      </c>
      <c r="U53" s="13">
        <f>Info!X91</f>
        <v>0</v>
      </c>
      <c r="V53" s="13">
        <f>Info!Y91</f>
        <v>0</v>
      </c>
      <c r="W53" t="str">
        <f>Info!H91</f>
        <v>settings.read, settings.write</v>
      </c>
      <c r="X53" s="12"/>
    </row>
    <row r="54" spans="2:24" x14ac:dyDescent="0.2">
      <c r="B54" t="b">
        <v>0</v>
      </c>
      <c r="C54" s="14" t="str" cm="1">
        <f t="array" ref="C54">IF(B54=TRUE,NowStatic(),"")</f>
        <v/>
      </c>
      <c r="D54" s="7">
        <f>Info!I92</f>
        <v>1</v>
      </c>
      <c r="E54" t="str">
        <f>Info!A92</f>
        <v>dynatrace_k8s_workload_anomalies</v>
      </c>
      <c r="F54" t="str">
        <f>Info!G92</f>
        <v>Settings 2.0</v>
      </c>
      <c r="G54" s="7">
        <f>Info!J92</f>
        <v>0</v>
      </c>
      <c r="H54" s="13">
        <f>Info!K92</f>
        <v>0</v>
      </c>
      <c r="I54" s="13">
        <f>Info!L92</f>
        <v>0</v>
      </c>
      <c r="J54" s="13">
        <f>Info!M92</f>
        <v>0</v>
      </c>
      <c r="K54" s="13">
        <f>Info!N92</f>
        <v>0</v>
      </c>
      <c r="L54" s="13">
        <f>Info!O92</f>
        <v>0</v>
      </c>
      <c r="M54" s="13">
        <f>Info!P92</f>
        <v>0</v>
      </c>
      <c r="N54" s="13">
        <f>Info!Q92</f>
        <v>0</v>
      </c>
      <c r="O54" s="13">
        <f>Info!R92</f>
        <v>0</v>
      </c>
      <c r="P54" s="13">
        <f>Info!S92</f>
        <v>0</v>
      </c>
      <c r="Q54" s="13">
        <f>Info!T92</f>
        <v>0</v>
      </c>
      <c r="R54" s="13">
        <f>Info!U92</f>
        <v>0</v>
      </c>
      <c r="S54" s="13">
        <f>Info!V92</f>
        <v>0</v>
      </c>
      <c r="T54" s="13">
        <f>Info!W92</f>
        <v>0</v>
      </c>
      <c r="U54" s="13">
        <f>Info!X92</f>
        <v>0</v>
      </c>
      <c r="V54" s="13">
        <f>Info!Y92</f>
        <v>0</v>
      </c>
      <c r="W54" t="str">
        <f>Info!H92</f>
        <v>settings.read, settings.write</v>
      </c>
      <c r="X54" s="12"/>
    </row>
    <row r="55" spans="2:24" x14ac:dyDescent="0.2">
      <c r="B55" t="b">
        <v>0</v>
      </c>
      <c r="C55" s="14" t="str" cm="1">
        <f t="array" ref="C55">IF(B55=TRUE,NowStatic(),"")</f>
        <v/>
      </c>
      <c r="D55" s="7">
        <f>Info!I93</f>
        <v>1</v>
      </c>
      <c r="E55" t="str">
        <f>Info!A93</f>
        <v>dynatrace_key_requests</v>
      </c>
      <c r="F55" t="str">
        <f>Info!G93</f>
        <v>Settings 2.0</v>
      </c>
      <c r="G55" s="7">
        <f>Info!J93</f>
        <v>0</v>
      </c>
      <c r="H55" s="13">
        <f>Info!K93</f>
        <v>0</v>
      </c>
      <c r="I55" s="13">
        <f>Info!L93</f>
        <v>0</v>
      </c>
      <c r="J55" s="13">
        <f>Info!M93</f>
        <v>0</v>
      </c>
      <c r="K55" s="13">
        <f>Info!N93</f>
        <v>0</v>
      </c>
      <c r="L55" s="13">
        <f>Info!O93</f>
        <v>0</v>
      </c>
      <c r="M55" s="13">
        <f>Info!P93</f>
        <v>0</v>
      </c>
      <c r="N55" s="13">
        <f>Info!Q93</f>
        <v>0</v>
      </c>
      <c r="O55" s="13">
        <f>Info!R93</f>
        <v>0</v>
      </c>
      <c r="P55" s="13">
        <f>Info!S93</f>
        <v>0</v>
      </c>
      <c r="Q55" s="13">
        <f>Info!T93</f>
        <v>0</v>
      </c>
      <c r="R55" s="13">
        <f>Info!U93</f>
        <v>0</v>
      </c>
      <c r="S55" s="13">
        <f>Info!V93</f>
        <v>0</v>
      </c>
      <c r="T55" s="13">
        <f>Info!W93</f>
        <v>0</v>
      </c>
      <c r="U55" s="13">
        <f>Info!X93</f>
        <v>0</v>
      </c>
      <c r="V55" s="13">
        <f>Info!Y93</f>
        <v>0</v>
      </c>
      <c r="W55" t="str">
        <f>Info!H93</f>
        <v>settings.read, settings.write</v>
      </c>
      <c r="X55" s="12"/>
    </row>
    <row r="56" spans="2:24" x14ac:dyDescent="0.2">
      <c r="B56" t="b">
        <v>0</v>
      </c>
      <c r="C56" s="14" t="str" cm="1">
        <f t="array" ref="C56">IF(B56=TRUE,NowStatic(),"")</f>
        <v/>
      </c>
      <c r="D56" s="7">
        <f>Info!I94</f>
        <v>1</v>
      </c>
      <c r="E56" t="str">
        <f>Info!A94</f>
        <v>dynatrace_kubernetes</v>
      </c>
      <c r="F56" t="str">
        <f>Info!G94</f>
        <v>Settings 2.0</v>
      </c>
      <c r="G56" s="7">
        <f>Info!J94</f>
        <v>0</v>
      </c>
      <c r="H56" s="13">
        <f>Info!K94</f>
        <v>0</v>
      </c>
      <c r="I56" s="13">
        <f>Info!L94</f>
        <v>0</v>
      </c>
      <c r="J56" s="13">
        <f>Info!M94</f>
        <v>0</v>
      </c>
      <c r="K56" s="13">
        <f>Info!N94</f>
        <v>0</v>
      </c>
      <c r="L56" s="13">
        <f>Info!O94</f>
        <v>0</v>
      </c>
      <c r="M56" s="13">
        <f>Info!P94</f>
        <v>0</v>
      </c>
      <c r="N56" s="13">
        <f>Info!Q94</f>
        <v>0</v>
      </c>
      <c r="O56" s="13">
        <f>Info!R94</f>
        <v>0</v>
      </c>
      <c r="P56" s="13">
        <f>Info!S94</f>
        <v>0</v>
      </c>
      <c r="Q56" s="13">
        <f>Info!T94</f>
        <v>0</v>
      </c>
      <c r="R56" s="13">
        <f>Info!U94</f>
        <v>0</v>
      </c>
      <c r="S56" s="13">
        <f>Info!V94</f>
        <v>0</v>
      </c>
      <c r="T56" s="13">
        <f>Info!W94</f>
        <v>0</v>
      </c>
      <c r="U56" s="13">
        <f>Info!X94</f>
        <v>0</v>
      </c>
      <c r="V56" s="13">
        <f>Info!Y94</f>
        <v>0</v>
      </c>
      <c r="W56" t="str">
        <f>Info!H94</f>
        <v>settings.read, settings.write</v>
      </c>
      <c r="X56" s="12"/>
    </row>
    <row r="57" spans="2:24" x14ac:dyDescent="0.2">
      <c r="B57" t="b">
        <v>0</v>
      </c>
      <c r="C57" s="14" t="str" cm="1">
        <f t="array" ref="C57">IF(B57=TRUE,NowStatic(),"")</f>
        <v/>
      </c>
      <c r="D57" s="7">
        <f>Info!I95</f>
        <v>1</v>
      </c>
      <c r="E57" t="str">
        <f>Info!A95</f>
        <v>dynatrace_log_buckets</v>
      </c>
      <c r="F57" t="str">
        <f>Info!G95</f>
        <v>Settings 2.0</v>
      </c>
      <c r="G57" s="7">
        <f>Info!J95</f>
        <v>0</v>
      </c>
      <c r="H57" s="13">
        <f>Info!K95</f>
        <v>0</v>
      </c>
      <c r="I57" s="13">
        <f>Info!L95</f>
        <v>0</v>
      </c>
      <c r="J57" s="13">
        <f>Info!M95</f>
        <v>0</v>
      </c>
      <c r="K57" s="13">
        <f>Info!N95</f>
        <v>0</v>
      </c>
      <c r="L57" s="13">
        <f>Info!O95</f>
        <v>0</v>
      </c>
      <c r="M57" s="13">
        <f>Info!P95</f>
        <v>0</v>
      </c>
      <c r="N57" s="13">
        <f>Info!Q95</f>
        <v>0</v>
      </c>
      <c r="O57" s="13">
        <f>Info!R95</f>
        <v>0</v>
      </c>
      <c r="P57" s="13">
        <f>Info!S95</f>
        <v>0</v>
      </c>
      <c r="Q57" s="13">
        <f>Info!T95</f>
        <v>0</v>
      </c>
      <c r="R57" s="13">
        <f>Info!U95</f>
        <v>0</v>
      </c>
      <c r="S57" s="13">
        <f>Info!V95</f>
        <v>0</v>
      </c>
      <c r="T57" s="13">
        <f>Info!W95</f>
        <v>0</v>
      </c>
      <c r="U57" s="13">
        <f>Info!X95</f>
        <v>0</v>
      </c>
      <c r="V57" s="13">
        <f>Info!Y95</f>
        <v>0</v>
      </c>
      <c r="W57" t="str">
        <f>Info!H95</f>
        <v>settings.read, settings.write</v>
      </c>
      <c r="X57" s="12"/>
    </row>
    <row r="58" spans="2:24" x14ac:dyDescent="0.2">
      <c r="B58" t="b">
        <v>0</v>
      </c>
      <c r="C58" s="14" t="str" cm="1">
        <f t="array" ref="C58">IF(B58=TRUE,NowStatic(),"")</f>
        <v/>
      </c>
      <c r="D58" s="7">
        <f>Info!I96</f>
        <v>1</v>
      </c>
      <c r="E58" t="str">
        <f>Info!A96</f>
        <v>dynatrace_log_custom_attribute</v>
      </c>
      <c r="F58" t="str">
        <f>Info!G96</f>
        <v>Settings 2.0</v>
      </c>
      <c r="G58" s="7">
        <f>Info!J96</f>
        <v>0</v>
      </c>
      <c r="H58" s="13">
        <f>Info!K96</f>
        <v>0</v>
      </c>
      <c r="I58" s="13">
        <f>Info!L96</f>
        <v>0</v>
      </c>
      <c r="J58" s="13">
        <f>Info!M96</f>
        <v>0</v>
      </c>
      <c r="K58" s="13">
        <f>Info!N96</f>
        <v>0</v>
      </c>
      <c r="L58" s="13">
        <f>Info!O96</f>
        <v>0</v>
      </c>
      <c r="M58" s="13">
        <f>Info!P96</f>
        <v>0</v>
      </c>
      <c r="N58" s="13">
        <f>Info!Q96</f>
        <v>0</v>
      </c>
      <c r="O58" s="13">
        <f>Info!R96</f>
        <v>0</v>
      </c>
      <c r="P58" s="13">
        <f>Info!S96</f>
        <v>0</v>
      </c>
      <c r="Q58" s="13">
        <f>Info!T96</f>
        <v>0</v>
      </c>
      <c r="R58" s="13">
        <f>Info!U96</f>
        <v>0</v>
      </c>
      <c r="S58" s="13">
        <f>Info!V96</f>
        <v>0</v>
      </c>
      <c r="T58" s="13">
        <f>Info!W96</f>
        <v>0</v>
      </c>
      <c r="U58" s="13">
        <f>Info!X96</f>
        <v>0</v>
      </c>
      <c r="V58" s="13">
        <f>Info!Y96</f>
        <v>0</v>
      </c>
      <c r="W58" t="str">
        <f>Info!H96</f>
        <v>settings.read, settings.write</v>
      </c>
      <c r="X58" s="12"/>
    </row>
    <row r="59" spans="2:24" x14ac:dyDescent="0.2">
      <c r="B59" t="b">
        <v>0</v>
      </c>
      <c r="C59" s="14" t="str" cm="1">
        <f t="array" ref="C59">IF(B59=TRUE,NowStatic(),"")</f>
        <v/>
      </c>
      <c r="D59" s="7">
        <f>Info!I97</f>
        <v>1</v>
      </c>
      <c r="E59" t="str">
        <f>Info!A97</f>
        <v>dynatrace_log_custom_source</v>
      </c>
      <c r="F59" t="str">
        <f>Info!G97</f>
        <v>Settings 2.0</v>
      </c>
      <c r="G59" s="7">
        <f>Info!J97</f>
        <v>0</v>
      </c>
      <c r="H59" s="13">
        <f>Info!K97</f>
        <v>0</v>
      </c>
      <c r="I59" s="13">
        <f>Info!L97</f>
        <v>0</v>
      </c>
      <c r="J59" s="13">
        <f>Info!M97</f>
        <v>0</v>
      </c>
      <c r="K59" s="13">
        <f>Info!N97</f>
        <v>0</v>
      </c>
      <c r="L59" s="13">
        <f>Info!O97</f>
        <v>0</v>
      </c>
      <c r="M59" s="13">
        <f>Info!P97</f>
        <v>0</v>
      </c>
      <c r="N59" s="13">
        <f>Info!Q97</f>
        <v>0</v>
      </c>
      <c r="O59" s="13">
        <f>Info!R97</f>
        <v>0</v>
      </c>
      <c r="P59" s="13">
        <f>Info!S97</f>
        <v>0</v>
      </c>
      <c r="Q59" s="13">
        <f>Info!T97</f>
        <v>0</v>
      </c>
      <c r="R59" s="13">
        <f>Info!U97</f>
        <v>0</v>
      </c>
      <c r="S59" s="13">
        <f>Info!V97</f>
        <v>0</v>
      </c>
      <c r="T59" s="13">
        <f>Info!W97</f>
        <v>0</v>
      </c>
      <c r="U59" s="13">
        <f>Info!X97</f>
        <v>0</v>
      </c>
      <c r="V59" s="13">
        <f>Info!Y97</f>
        <v>0</v>
      </c>
      <c r="W59" t="str">
        <f>Info!H97</f>
        <v>settings.read, settings.write</v>
      </c>
      <c r="X59" s="12"/>
    </row>
    <row r="60" spans="2:24" x14ac:dyDescent="0.2">
      <c r="B60" t="b">
        <v>0</v>
      </c>
      <c r="C60" s="14" t="str" cm="1">
        <f t="array" ref="C60">IF(B60=TRUE,NowStatic(),"")</f>
        <v/>
      </c>
      <c r="D60" s="7">
        <f>Info!I98</f>
        <v>1</v>
      </c>
      <c r="E60" t="str">
        <f>Info!A98</f>
        <v>dynatrace_log_events</v>
      </c>
      <c r="F60" t="str">
        <f>Info!G98</f>
        <v>Settings 2.0</v>
      </c>
      <c r="G60" s="7">
        <f>Info!J98</f>
        <v>0</v>
      </c>
      <c r="H60" s="13">
        <f>Info!K98</f>
        <v>0</v>
      </c>
      <c r="I60" s="13">
        <f>Info!L98</f>
        <v>0</v>
      </c>
      <c r="J60" s="13">
        <f>Info!M98</f>
        <v>0</v>
      </c>
      <c r="K60" s="13">
        <f>Info!N98</f>
        <v>0</v>
      </c>
      <c r="L60" s="13">
        <f>Info!O98</f>
        <v>0</v>
      </c>
      <c r="M60" s="13">
        <f>Info!P98</f>
        <v>0</v>
      </c>
      <c r="N60" s="13">
        <f>Info!Q98</f>
        <v>0</v>
      </c>
      <c r="O60" s="13">
        <f>Info!R98</f>
        <v>0</v>
      </c>
      <c r="P60" s="13">
        <f>Info!S98</f>
        <v>0</v>
      </c>
      <c r="Q60" s="13">
        <f>Info!T98</f>
        <v>0</v>
      </c>
      <c r="R60" s="13">
        <f>Info!U98</f>
        <v>0</v>
      </c>
      <c r="S60" s="13">
        <f>Info!V98</f>
        <v>0</v>
      </c>
      <c r="T60" s="13">
        <f>Info!W98</f>
        <v>0</v>
      </c>
      <c r="U60" s="13">
        <f>Info!X98</f>
        <v>0</v>
      </c>
      <c r="V60" s="13">
        <f>Info!Y98</f>
        <v>0</v>
      </c>
      <c r="W60" t="str">
        <f>Info!H98</f>
        <v>settings.read, settings.write</v>
      </c>
      <c r="X60" s="12"/>
    </row>
    <row r="61" spans="2:24" x14ac:dyDescent="0.2">
      <c r="B61" t="b">
        <v>0</v>
      </c>
      <c r="C61" s="14" t="str" cm="1">
        <f t="array" ref="C61">IF(B61=TRUE,NowStatic(),"")</f>
        <v/>
      </c>
      <c r="D61" s="7">
        <f>Info!I99</f>
        <v>1</v>
      </c>
      <c r="E61" t="str">
        <f>Info!A99</f>
        <v>dynatrace_log_grail</v>
      </c>
      <c r="F61" t="str">
        <f>Info!G99</f>
        <v>Settings 2.0</v>
      </c>
      <c r="G61" s="7">
        <f>Info!J99</f>
        <v>0</v>
      </c>
      <c r="H61" s="13">
        <f>Info!K99</f>
        <v>0</v>
      </c>
      <c r="I61" s="13">
        <f>Info!L99</f>
        <v>0</v>
      </c>
      <c r="J61" s="13">
        <f>Info!M99</f>
        <v>0</v>
      </c>
      <c r="K61" s="13">
        <f>Info!N99</f>
        <v>0</v>
      </c>
      <c r="L61" s="13">
        <f>Info!O99</f>
        <v>0</v>
      </c>
      <c r="M61" s="13">
        <f>Info!P99</f>
        <v>0</v>
      </c>
      <c r="N61" s="13">
        <f>Info!Q99</f>
        <v>0</v>
      </c>
      <c r="O61" s="13">
        <f>Info!R99</f>
        <v>0</v>
      </c>
      <c r="P61" s="13">
        <f>Info!S99</f>
        <v>0</v>
      </c>
      <c r="Q61" s="13">
        <f>Info!T99</f>
        <v>0</v>
      </c>
      <c r="R61" s="13">
        <f>Info!U99</f>
        <v>0</v>
      </c>
      <c r="S61" s="13">
        <f>Info!V99</f>
        <v>0</v>
      </c>
      <c r="T61" s="13">
        <f>Info!W99</f>
        <v>0</v>
      </c>
      <c r="U61" s="13">
        <f>Info!X99</f>
        <v>0</v>
      </c>
      <c r="V61" s="13">
        <f>Info!Y99</f>
        <v>0</v>
      </c>
      <c r="W61" t="str">
        <f>Info!H99</f>
        <v>settings.read, settings.write</v>
      </c>
      <c r="X61" s="12"/>
    </row>
    <row r="62" spans="2:24" x14ac:dyDescent="0.2">
      <c r="B62" t="b">
        <v>0</v>
      </c>
      <c r="C62" s="14" t="str" cm="1">
        <f t="array" ref="C62">IF(B62=TRUE,NowStatic(),"")</f>
        <v/>
      </c>
      <c r="D62" s="7">
        <f>Info!I100</f>
        <v>1</v>
      </c>
      <c r="E62" t="str">
        <f>Info!A100</f>
        <v>dynatrace_log_metrics</v>
      </c>
      <c r="F62" t="str">
        <f>Info!G100</f>
        <v>Settings 2.0</v>
      </c>
      <c r="G62" s="7">
        <f>Info!J100</f>
        <v>0</v>
      </c>
      <c r="H62" s="13">
        <f>Info!K100</f>
        <v>0</v>
      </c>
      <c r="I62" s="13">
        <f>Info!L100</f>
        <v>0</v>
      </c>
      <c r="J62" s="13">
        <f>Info!M100</f>
        <v>0</v>
      </c>
      <c r="K62" s="13">
        <f>Info!N100</f>
        <v>0</v>
      </c>
      <c r="L62" s="13">
        <f>Info!O100</f>
        <v>0</v>
      </c>
      <c r="M62" s="13">
        <f>Info!P100</f>
        <v>0</v>
      </c>
      <c r="N62" s="13">
        <f>Info!Q100</f>
        <v>0</v>
      </c>
      <c r="O62" s="13">
        <f>Info!R100</f>
        <v>0</v>
      </c>
      <c r="P62" s="13">
        <f>Info!S100</f>
        <v>0</v>
      </c>
      <c r="Q62" s="13">
        <f>Info!T100</f>
        <v>0</v>
      </c>
      <c r="R62" s="13">
        <f>Info!U100</f>
        <v>0</v>
      </c>
      <c r="S62" s="13">
        <f>Info!V100</f>
        <v>0</v>
      </c>
      <c r="T62" s="13">
        <f>Info!W100</f>
        <v>0</v>
      </c>
      <c r="U62" s="13">
        <f>Info!X100</f>
        <v>0</v>
      </c>
      <c r="V62" s="13">
        <f>Info!Y100</f>
        <v>0</v>
      </c>
      <c r="W62" t="str">
        <f>Info!H100</f>
        <v>settings.read, settings.write</v>
      </c>
      <c r="X62" s="12"/>
    </row>
    <row r="63" spans="2:24" x14ac:dyDescent="0.2">
      <c r="B63" t="b">
        <v>0</v>
      </c>
      <c r="C63" s="14" t="str" cm="1">
        <f t="array" ref="C63">IF(B63=TRUE,NowStatic(),"")</f>
        <v/>
      </c>
      <c r="D63" s="7">
        <f>Info!I101</f>
        <v>1</v>
      </c>
      <c r="E63" t="str">
        <f>Info!A101</f>
        <v>dynatrace_log_oneagent</v>
      </c>
      <c r="F63" t="str">
        <f>Info!G101</f>
        <v>Settings 2.0</v>
      </c>
      <c r="G63" s="7">
        <f>Info!J101</f>
        <v>0</v>
      </c>
      <c r="H63" s="13">
        <f>Info!K101</f>
        <v>0</v>
      </c>
      <c r="I63" s="13">
        <f>Info!L101</f>
        <v>0</v>
      </c>
      <c r="J63" s="13">
        <f>Info!M101</f>
        <v>0</v>
      </c>
      <c r="K63" s="13">
        <f>Info!N101</f>
        <v>0</v>
      </c>
      <c r="L63" s="13">
        <f>Info!O101</f>
        <v>0</v>
      </c>
      <c r="M63" s="13">
        <f>Info!P101</f>
        <v>0</v>
      </c>
      <c r="N63" s="13">
        <f>Info!Q101</f>
        <v>0</v>
      </c>
      <c r="O63" s="13">
        <f>Info!R101</f>
        <v>0</v>
      </c>
      <c r="P63" s="13">
        <f>Info!S101</f>
        <v>0</v>
      </c>
      <c r="Q63" s="13">
        <f>Info!T101</f>
        <v>0</v>
      </c>
      <c r="R63" s="13">
        <f>Info!U101</f>
        <v>0</v>
      </c>
      <c r="S63" s="13">
        <f>Info!V101</f>
        <v>0</v>
      </c>
      <c r="T63" s="13">
        <f>Info!W101</f>
        <v>0</v>
      </c>
      <c r="U63" s="13">
        <f>Info!X101</f>
        <v>0</v>
      </c>
      <c r="V63" s="13">
        <f>Info!Y101</f>
        <v>0</v>
      </c>
      <c r="W63" t="str">
        <f>Info!H101</f>
        <v>settings.read, settings.write</v>
      </c>
      <c r="X63" s="12"/>
    </row>
    <row r="64" spans="2:24" x14ac:dyDescent="0.2">
      <c r="B64" t="b">
        <v>0</v>
      </c>
      <c r="C64" s="14" t="str" cm="1">
        <f t="array" ref="C64">IF(B64=TRUE,NowStatic(),"")</f>
        <v/>
      </c>
      <c r="D64" s="7">
        <f>Info!I102</f>
        <v>1</v>
      </c>
      <c r="E64" t="str">
        <f>Info!A102</f>
        <v>dynatrace_log_processing</v>
      </c>
      <c r="F64" t="str">
        <f>Info!G102</f>
        <v>Settings 2.0</v>
      </c>
      <c r="G64" s="7">
        <f>Info!J102</f>
        <v>0</v>
      </c>
      <c r="H64" s="13">
        <f>Info!K102</f>
        <v>0</v>
      </c>
      <c r="I64" s="13">
        <f>Info!L102</f>
        <v>0</v>
      </c>
      <c r="J64" s="13">
        <f>Info!M102</f>
        <v>0</v>
      </c>
      <c r="K64" s="13">
        <f>Info!N102</f>
        <v>0</v>
      </c>
      <c r="L64" s="13">
        <f>Info!O102</f>
        <v>0</v>
      </c>
      <c r="M64" s="13">
        <f>Info!P102</f>
        <v>0</v>
      </c>
      <c r="N64" s="13">
        <f>Info!Q102</f>
        <v>0</v>
      </c>
      <c r="O64" s="13">
        <f>Info!R102</f>
        <v>0</v>
      </c>
      <c r="P64" s="13">
        <f>Info!S102</f>
        <v>0</v>
      </c>
      <c r="Q64" s="13">
        <f>Info!T102</f>
        <v>0</v>
      </c>
      <c r="R64" s="13">
        <f>Info!U102</f>
        <v>0</v>
      </c>
      <c r="S64" s="13">
        <f>Info!V102</f>
        <v>0</v>
      </c>
      <c r="T64" s="13">
        <f>Info!W102</f>
        <v>0</v>
      </c>
      <c r="U64" s="13">
        <f>Info!X102</f>
        <v>0</v>
      </c>
      <c r="V64" s="13">
        <f>Info!Y102</f>
        <v>0</v>
      </c>
      <c r="W64" t="str">
        <f>Info!H102</f>
        <v>settings.read, settings.write</v>
      </c>
      <c r="X64" s="12"/>
    </row>
    <row r="65" spans="2:24" x14ac:dyDescent="0.2">
      <c r="B65" t="b">
        <v>0</v>
      </c>
      <c r="C65" s="14" t="str" cm="1">
        <f t="array" ref="C65">IF(B65=TRUE,NowStatic(),"")</f>
        <v/>
      </c>
      <c r="D65" s="7">
        <f>Info!I103</f>
        <v>1</v>
      </c>
      <c r="E65" t="str">
        <f>Info!A103</f>
        <v>dynatrace_log_sensitive_data_masking</v>
      </c>
      <c r="F65" t="str">
        <f>Info!G103</f>
        <v>Settings 2.0</v>
      </c>
      <c r="G65" s="7">
        <f>Info!J103</f>
        <v>0</v>
      </c>
      <c r="H65" s="13">
        <f>Info!K103</f>
        <v>0</v>
      </c>
      <c r="I65" s="13">
        <f>Info!L103</f>
        <v>0</v>
      </c>
      <c r="J65" s="13">
        <f>Info!M103</f>
        <v>0</v>
      </c>
      <c r="K65" s="13">
        <f>Info!N103</f>
        <v>0</v>
      </c>
      <c r="L65" s="13">
        <f>Info!O103</f>
        <v>0</v>
      </c>
      <c r="M65" s="13">
        <f>Info!P103</f>
        <v>0</v>
      </c>
      <c r="N65" s="13">
        <f>Info!Q103</f>
        <v>0</v>
      </c>
      <c r="O65" s="13">
        <f>Info!R103</f>
        <v>0</v>
      </c>
      <c r="P65" s="13">
        <f>Info!S103</f>
        <v>0</v>
      </c>
      <c r="Q65" s="13">
        <f>Info!T103</f>
        <v>0</v>
      </c>
      <c r="R65" s="13">
        <f>Info!U103</f>
        <v>0</v>
      </c>
      <c r="S65" s="13">
        <f>Info!V103</f>
        <v>0</v>
      </c>
      <c r="T65" s="13">
        <f>Info!W103</f>
        <v>0</v>
      </c>
      <c r="U65" s="13">
        <f>Info!X103</f>
        <v>0</v>
      </c>
      <c r="V65" s="13">
        <f>Info!Y103</f>
        <v>0</v>
      </c>
      <c r="W65" t="str">
        <f>Info!H103</f>
        <v>settings.read, settings.write</v>
      </c>
      <c r="X65" s="12"/>
    </row>
    <row r="66" spans="2:24" x14ac:dyDescent="0.2">
      <c r="B66" t="b">
        <v>0</v>
      </c>
      <c r="C66" s="14" t="str" cm="1">
        <f t="array" ref="C66">IF(B66=TRUE,NowStatic(),"")</f>
        <v/>
      </c>
      <c r="D66" s="7">
        <f>Info!I104</f>
        <v>1</v>
      </c>
      <c r="E66" t="str">
        <f>Info!A104</f>
        <v>dynatrace_log_storage</v>
      </c>
      <c r="F66" t="str">
        <f>Info!G104</f>
        <v>Settings 2.0</v>
      </c>
      <c r="G66" s="7">
        <f>Info!J104</f>
        <v>0</v>
      </c>
      <c r="H66" s="13">
        <f>Info!K104</f>
        <v>0</v>
      </c>
      <c r="I66" s="13">
        <f>Info!L104</f>
        <v>0</v>
      </c>
      <c r="J66" s="13">
        <f>Info!M104</f>
        <v>0</v>
      </c>
      <c r="K66" s="13">
        <f>Info!N104</f>
        <v>0</v>
      </c>
      <c r="L66" s="13">
        <f>Info!O104</f>
        <v>0</v>
      </c>
      <c r="M66" s="13">
        <f>Info!P104</f>
        <v>0</v>
      </c>
      <c r="N66" s="13">
        <f>Info!Q104</f>
        <v>0</v>
      </c>
      <c r="O66" s="13">
        <f>Info!R104</f>
        <v>0</v>
      </c>
      <c r="P66" s="13">
        <f>Info!S104</f>
        <v>0</v>
      </c>
      <c r="Q66" s="13">
        <f>Info!T104</f>
        <v>0</v>
      </c>
      <c r="R66" s="13">
        <f>Info!U104</f>
        <v>0</v>
      </c>
      <c r="S66" s="13">
        <f>Info!V104</f>
        <v>0</v>
      </c>
      <c r="T66" s="13">
        <f>Info!W104</f>
        <v>0</v>
      </c>
      <c r="U66" s="13">
        <f>Info!X104</f>
        <v>0</v>
      </c>
      <c r="V66" s="13">
        <f>Info!Y104</f>
        <v>0</v>
      </c>
      <c r="W66" t="str">
        <f>Info!H104</f>
        <v>settings.read, settings.write</v>
      </c>
      <c r="X66" s="12"/>
    </row>
    <row r="67" spans="2:24" x14ac:dyDescent="0.2">
      <c r="B67" t="b">
        <v>0</v>
      </c>
      <c r="C67" s="14" t="str" cm="1">
        <f t="array" ref="C67">IF(B67=TRUE,NowStatic(),"")</f>
        <v/>
      </c>
      <c r="D67" s="7">
        <f>Info!I105</f>
        <v>1</v>
      </c>
      <c r="E67" t="str">
        <f>Info!A105</f>
        <v>dynatrace_log_timestamp</v>
      </c>
      <c r="F67" t="str">
        <f>Info!G105</f>
        <v>Settings 2.0</v>
      </c>
      <c r="G67" s="7">
        <f>Info!J105</f>
        <v>0</v>
      </c>
      <c r="H67" s="13">
        <f>Info!K105</f>
        <v>0</v>
      </c>
      <c r="I67" s="13">
        <f>Info!L105</f>
        <v>0</v>
      </c>
      <c r="J67" s="13">
        <f>Info!M105</f>
        <v>0</v>
      </c>
      <c r="K67" s="13">
        <f>Info!N105</f>
        <v>0</v>
      </c>
      <c r="L67" s="13">
        <f>Info!O105</f>
        <v>0</v>
      </c>
      <c r="M67" s="13">
        <f>Info!P105</f>
        <v>0</v>
      </c>
      <c r="N67" s="13">
        <f>Info!Q105</f>
        <v>0</v>
      </c>
      <c r="O67" s="13">
        <f>Info!R105</f>
        <v>0</v>
      </c>
      <c r="P67" s="13">
        <f>Info!S105</f>
        <v>0</v>
      </c>
      <c r="Q67" s="13">
        <f>Info!T105</f>
        <v>0</v>
      </c>
      <c r="R67" s="13">
        <f>Info!U105</f>
        <v>0</v>
      </c>
      <c r="S67" s="13">
        <f>Info!V105</f>
        <v>0</v>
      </c>
      <c r="T67" s="13">
        <f>Info!W105</f>
        <v>0</v>
      </c>
      <c r="U67" s="13">
        <f>Info!X105</f>
        <v>0</v>
      </c>
      <c r="V67" s="13">
        <f>Info!Y105</f>
        <v>0</v>
      </c>
      <c r="W67" t="str">
        <f>Info!H105</f>
        <v>settings.read, settings.write</v>
      </c>
      <c r="X67" s="12"/>
    </row>
    <row r="68" spans="2:24" x14ac:dyDescent="0.2">
      <c r="B68" t="b">
        <v>0</v>
      </c>
      <c r="C68" s="14" t="str" cm="1">
        <f t="array" ref="C68">IF(B68=TRUE,NowStatic(),"")</f>
        <v/>
      </c>
      <c r="D68" s="7">
        <f>Info!I106</f>
        <v>1</v>
      </c>
      <c r="E68" t="str">
        <f>Info!A106</f>
        <v>dynatrace_mainframe_transaction_monitoring</v>
      </c>
      <c r="F68" t="str">
        <f>Info!G106</f>
        <v>Settings 2.0</v>
      </c>
      <c r="G68" s="7">
        <f>Info!J106</f>
        <v>0</v>
      </c>
      <c r="H68" s="13">
        <f>Info!K106</f>
        <v>0</v>
      </c>
      <c r="I68" s="13">
        <f>Info!L106</f>
        <v>0</v>
      </c>
      <c r="J68" s="13">
        <f>Info!M106</f>
        <v>0</v>
      </c>
      <c r="K68" s="13">
        <f>Info!N106</f>
        <v>0</v>
      </c>
      <c r="L68" s="13">
        <f>Info!O106</f>
        <v>0</v>
      </c>
      <c r="M68" s="13">
        <f>Info!P106</f>
        <v>0</v>
      </c>
      <c r="N68" s="13">
        <f>Info!Q106</f>
        <v>0</v>
      </c>
      <c r="O68" s="13">
        <f>Info!R106</f>
        <v>0</v>
      </c>
      <c r="P68" s="13">
        <f>Info!S106</f>
        <v>0</v>
      </c>
      <c r="Q68" s="13">
        <f>Info!T106</f>
        <v>0</v>
      </c>
      <c r="R68" s="13">
        <f>Info!U106</f>
        <v>0</v>
      </c>
      <c r="S68" s="13">
        <f>Info!V106</f>
        <v>0</v>
      </c>
      <c r="T68" s="13">
        <f>Info!W106</f>
        <v>0</v>
      </c>
      <c r="U68" s="13">
        <f>Info!X106</f>
        <v>0</v>
      </c>
      <c r="V68" s="13">
        <f>Info!Y106</f>
        <v>0</v>
      </c>
      <c r="W68" t="str">
        <f>Info!H106</f>
        <v>settings.read, settings.write</v>
      </c>
      <c r="X68" s="12"/>
    </row>
    <row r="69" spans="2:24" x14ac:dyDescent="0.2">
      <c r="B69" t="b">
        <v>0</v>
      </c>
      <c r="C69" s="14" t="str" cm="1">
        <f t="array" ref="C69">IF(B69=TRUE,NowStatic(),"")</f>
        <v/>
      </c>
      <c r="D69" s="7">
        <f>Info!I110</f>
        <v>1</v>
      </c>
      <c r="E69" t="str">
        <f>Info!A110</f>
        <v>dynatrace_management_zone_v2</v>
      </c>
      <c r="F69" t="str">
        <f>Info!G110</f>
        <v>Settings 2.0</v>
      </c>
      <c r="G69" s="7">
        <f>Info!J110</f>
        <v>0</v>
      </c>
      <c r="H69" s="13">
        <f>Info!K110</f>
        <v>0</v>
      </c>
      <c r="I69" s="13">
        <f>Info!L110</f>
        <v>0</v>
      </c>
      <c r="J69" s="13">
        <f>Info!M110</f>
        <v>0</v>
      </c>
      <c r="K69" s="13">
        <f>Info!N110</f>
        <v>0</v>
      </c>
      <c r="L69" s="13">
        <f>Info!O110</f>
        <v>0</v>
      </c>
      <c r="M69" s="13">
        <f>Info!P110</f>
        <v>0</v>
      </c>
      <c r="N69" s="13">
        <f>Info!Q110</f>
        <v>0</v>
      </c>
      <c r="O69" s="13">
        <f>Info!R110</f>
        <v>0</v>
      </c>
      <c r="P69" s="13">
        <f>Info!S110</f>
        <v>0</v>
      </c>
      <c r="Q69" s="13">
        <f>Info!T110</f>
        <v>0</v>
      </c>
      <c r="R69" s="13">
        <f>Info!U110</f>
        <v>0</v>
      </c>
      <c r="S69" s="13">
        <f>Info!V110</f>
        <v>0</v>
      </c>
      <c r="T69" s="13">
        <f>Info!W110</f>
        <v>0</v>
      </c>
      <c r="U69" s="13">
        <f>Info!X110</f>
        <v>0</v>
      </c>
      <c r="V69" s="13">
        <f>Info!Y110</f>
        <v>0</v>
      </c>
      <c r="W69" t="str">
        <f>Info!H110</f>
        <v>settings.read, settings.write</v>
      </c>
      <c r="X69" s="12"/>
    </row>
    <row r="70" spans="2:24" x14ac:dyDescent="0.2">
      <c r="B70" t="b">
        <v>0</v>
      </c>
      <c r="C70" s="14" t="str" cm="1">
        <f t="array" ref="C70">IF(B70=TRUE,NowStatic(),"")</f>
        <v/>
      </c>
      <c r="D70" s="7">
        <f>Info!I112</f>
        <v>1</v>
      </c>
      <c r="E70" t="str">
        <f>Info!A112</f>
        <v>dynatrace_metric_metadata</v>
      </c>
      <c r="F70" t="str">
        <f>Info!G112</f>
        <v>Settings 2.0</v>
      </c>
      <c r="G70" s="7">
        <f>Info!J112</f>
        <v>0</v>
      </c>
      <c r="H70" s="13">
        <f>Info!K112</f>
        <v>0</v>
      </c>
      <c r="I70" s="13">
        <f>Info!L112</f>
        <v>0</v>
      </c>
      <c r="J70" s="13">
        <f>Info!M112</f>
        <v>0</v>
      </c>
      <c r="K70" s="13">
        <f>Info!N112</f>
        <v>0</v>
      </c>
      <c r="L70" s="13">
        <f>Info!O112</f>
        <v>0</v>
      </c>
      <c r="M70" s="13">
        <f>Info!P112</f>
        <v>0</v>
      </c>
      <c r="N70" s="13">
        <f>Info!Q112</f>
        <v>0</v>
      </c>
      <c r="O70" s="13">
        <f>Info!R112</f>
        <v>0</v>
      </c>
      <c r="P70" s="13">
        <f>Info!S112</f>
        <v>0</v>
      </c>
      <c r="Q70" s="13">
        <f>Info!T112</f>
        <v>0</v>
      </c>
      <c r="R70" s="13">
        <f>Info!U112</f>
        <v>0</v>
      </c>
      <c r="S70" s="13">
        <f>Info!V112</f>
        <v>0</v>
      </c>
      <c r="T70" s="13">
        <f>Info!W112</f>
        <v>0</v>
      </c>
      <c r="U70" s="13">
        <f>Info!X112</f>
        <v>0</v>
      </c>
      <c r="V70" s="13">
        <f>Info!Y112</f>
        <v>0</v>
      </c>
      <c r="W70" t="str">
        <f>Info!H112</f>
        <v>settings.read, settings.write</v>
      </c>
      <c r="X70" s="12"/>
    </row>
    <row r="71" spans="2:24" x14ac:dyDescent="0.2">
      <c r="B71" t="b">
        <v>0</v>
      </c>
      <c r="C71" s="14" t="str" cm="1">
        <f t="array" ref="C71">IF(B71=TRUE,NowStatic(),"")</f>
        <v/>
      </c>
      <c r="D71" s="7">
        <f>Info!I113</f>
        <v>1</v>
      </c>
      <c r="E71" t="str">
        <f>Info!A113</f>
        <v>dynatrace_metric_query</v>
      </c>
      <c r="F71" t="str">
        <f>Info!G113</f>
        <v>Settings 2.0</v>
      </c>
      <c r="G71" s="7">
        <f>Info!J113</f>
        <v>0</v>
      </c>
      <c r="H71" s="13">
        <f>Info!K113</f>
        <v>0</v>
      </c>
      <c r="I71" s="13">
        <f>Info!L113</f>
        <v>0</v>
      </c>
      <c r="J71" s="13">
        <f>Info!M113</f>
        <v>0</v>
      </c>
      <c r="K71" s="13">
        <f>Info!N113</f>
        <v>0</v>
      </c>
      <c r="L71" s="13">
        <f>Info!O113</f>
        <v>0</v>
      </c>
      <c r="M71" s="13">
        <f>Info!P113</f>
        <v>0</v>
      </c>
      <c r="N71" s="13">
        <f>Info!Q113</f>
        <v>0</v>
      </c>
      <c r="O71" s="13">
        <f>Info!R113</f>
        <v>0</v>
      </c>
      <c r="P71" s="13">
        <f>Info!S113</f>
        <v>0</v>
      </c>
      <c r="Q71" s="13">
        <f>Info!T113</f>
        <v>0</v>
      </c>
      <c r="R71" s="13">
        <f>Info!U113</f>
        <v>0</v>
      </c>
      <c r="S71" s="13">
        <f>Info!V113</f>
        <v>0</v>
      </c>
      <c r="T71" s="13">
        <f>Info!W113</f>
        <v>0</v>
      </c>
      <c r="U71" s="13">
        <f>Info!X113</f>
        <v>0</v>
      </c>
      <c r="V71" s="13">
        <f>Info!Y113</f>
        <v>0</v>
      </c>
      <c r="W71" t="str">
        <f>Info!H113</f>
        <v>settings.read, settings.write</v>
      </c>
      <c r="X71" s="12"/>
    </row>
    <row r="72" spans="2:24" x14ac:dyDescent="0.2">
      <c r="B72" t="b">
        <v>0</v>
      </c>
      <c r="C72" s="14" t="str" cm="1">
        <f t="array" ref="C72">IF(B72=TRUE,NowStatic(),"")</f>
        <v/>
      </c>
      <c r="D72" s="7">
        <f>Info!I119</f>
        <v>1</v>
      </c>
      <c r="E72" t="str">
        <f>Info!A119</f>
        <v>dynatrace_monitored_technologies_apache</v>
      </c>
      <c r="F72" t="str">
        <f>Info!G119</f>
        <v>Settings 2.0</v>
      </c>
      <c r="G72" s="7">
        <f>Info!J119</f>
        <v>0</v>
      </c>
      <c r="H72" s="13">
        <f>Info!K119</f>
        <v>0</v>
      </c>
      <c r="I72" s="13">
        <f>Info!L119</f>
        <v>0</v>
      </c>
      <c r="J72" s="13">
        <f>Info!M119</f>
        <v>0</v>
      </c>
      <c r="K72" s="13">
        <f>Info!N119</f>
        <v>0</v>
      </c>
      <c r="L72" s="13">
        <f>Info!O119</f>
        <v>0</v>
      </c>
      <c r="M72" s="13">
        <f>Info!P119</f>
        <v>0</v>
      </c>
      <c r="N72" s="13">
        <f>Info!Q119</f>
        <v>0</v>
      </c>
      <c r="O72" s="13">
        <f>Info!R119</f>
        <v>0</v>
      </c>
      <c r="P72" s="13">
        <f>Info!S119</f>
        <v>0</v>
      </c>
      <c r="Q72" s="13">
        <f>Info!T119</f>
        <v>0</v>
      </c>
      <c r="R72" s="13">
        <f>Info!U119</f>
        <v>0</v>
      </c>
      <c r="S72" s="13">
        <f>Info!V119</f>
        <v>0</v>
      </c>
      <c r="T72" s="13">
        <f>Info!W119</f>
        <v>0</v>
      </c>
      <c r="U72" s="13">
        <f>Info!X119</f>
        <v>0</v>
      </c>
      <c r="V72" s="13">
        <f>Info!Y119</f>
        <v>0</v>
      </c>
      <c r="W72" t="str">
        <f>Info!H119</f>
        <v>settings.read, settings.write</v>
      </c>
      <c r="X72" s="12"/>
    </row>
    <row r="73" spans="2:24" x14ac:dyDescent="0.2">
      <c r="B73" t="b">
        <v>0</v>
      </c>
      <c r="C73" s="14" t="str" cm="1">
        <f t="array" ref="C73">IF(B73=TRUE,NowStatic(),"")</f>
        <v/>
      </c>
      <c r="D73" s="7">
        <f>Info!I120</f>
        <v>1</v>
      </c>
      <c r="E73" t="str">
        <f>Info!A120</f>
        <v>dynatrace_monitored_technologies_dotnet</v>
      </c>
      <c r="F73" t="str">
        <f>Info!G120</f>
        <v>Settings 2.0</v>
      </c>
      <c r="G73" s="7">
        <f>Info!J120</f>
        <v>0</v>
      </c>
      <c r="H73" s="13">
        <f>Info!K120</f>
        <v>0</v>
      </c>
      <c r="I73" s="13">
        <f>Info!L120</f>
        <v>0</v>
      </c>
      <c r="J73" s="13">
        <f>Info!M120</f>
        <v>0</v>
      </c>
      <c r="K73" s="13">
        <f>Info!N120</f>
        <v>0</v>
      </c>
      <c r="L73" s="13">
        <f>Info!O120</f>
        <v>0</v>
      </c>
      <c r="M73" s="13">
        <f>Info!P120</f>
        <v>0</v>
      </c>
      <c r="N73" s="13">
        <f>Info!Q120</f>
        <v>0</v>
      </c>
      <c r="O73" s="13">
        <f>Info!R120</f>
        <v>0</v>
      </c>
      <c r="P73" s="13">
        <f>Info!S120</f>
        <v>0</v>
      </c>
      <c r="Q73" s="13">
        <f>Info!T120</f>
        <v>0</v>
      </c>
      <c r="R73" s="13">
        <f>Info!U120</f>
        <v>0</v>
      </c>
      <c r="S73" s="13">
        <f>Info!V120</f>
        <v>0</v>
      </c>
      <c r="T73" s="13">
        <f>Info!W120</f>
        <v>0</v>
      </c>
      <c r="U73" s="13">
        <f>Info!X120</f>
        <v>0</v>
      </c>
      <c r="V73" s="13">
        <f>Info!Y120</f>
        <v>0</v>
      </c>
      <c r="W73" t="str">
        <f>Info!H120</f>
        <v>settings.read, settings.write</v>
      </c>
      <c r="X73" s="12"/>
    </row>
    <row r="74" spans="2:24" x14ac:dyDescent="0.2">
      <c r="B74" t="b">
        <v>0</v>
      </c>
      <c r="C74" s="14" t="str" cm="1">
        <f t="array" ref="C74">IF(B74=TRUE,NowStatic(),"")</f>
        <v/>
      </c>
      <c r="D74" s="7">
        <f>Info!I121</f>
        <v>1</v>
      </c>
      <c r="E74" t="str">
        <f>Info!A121</f>
        <v>dynatrace_monitored_technologies_go</v>
      </c>
      <c r="F74" t="str">
        <f>Info!G121</f>
        <v>Settings 2.0</v>
      </c>
      <c r="G74" s="7">
        <f>Info!J121</f>
        <v>0</v>
      </c>
      <c r="H74" s="13">
        <f>Info!K121</f>
        <v>0</v>
      </c>
      <c r="I74" s="13">
        <f>Info!L121</f>
        <v>0</v>
      </c>
      <c r="J74" s="13">
        <f>Info!M121</f>
        <v>0</v>
      </c>
      <c r="K74" s="13">
        <f>Info!N121</f>
        <v>0</v>
      </c>
      <c r="L74" s="13">
        <f>Info!O121</f>
        <v>0</v>
      </c>
      <c r="M74" s="13">
        <f>Info!P121</f>
        <v>0</v>
      </c>
      <c r="N74" s="13">
        <f>Info!Q121</f>
        <v>0</v>
      </c>
      <c r="O74" s="13">
        <f>Info!R121</f>
        <v>0</v>
      </c>
      <c r="P74" s="13">
        <f>Info!S121</f>
        <v>0</v>
      </c>
      <c r="Q74" s="13">
        <f>Info!T121</f>
        <v>0</v>
      </c>
      <c r="R74" s="13">
        <f>Info!U121</f>
        <v>0</v>
      </c>
      <c r="S74" s="13">
        <f>Info!V121</f>
        <v>0</v>
      </c>
      <c r="T74" s="13">
        <f>Info!W121</f>
        <v>0</v>
      </c>
      <c r="U74" s="13">
        <f>Info!X121</f>
        <v>0</v>
      </c>
      <c r="V74" s="13">
        <f>Info!Y121</f>
        <v>0</v>
      </c>
      <c r="W74" t="str">
        <f>Info!H121</f>
        <v>settings.read, settings.write</v>
      </c>
      <c r="X74" s="12"/>
    </row>
    <row r="75" spans="2:24" x14ac:dyDescent="0.2">
      <c r="B75" t="b">
        <v>0</v>
      </c>
      <c r="C75" s="14" t="str" cm="1">
        <f t="array" ref="C75">IF(B75=TRUE,NowStatic(),"")</f>
        <v/>
      </c>
      <c r="D75" s="7">
        <f>Info!I122</f>
        <v>1</v>
      </c>
      <c r="E75" t="str">
        <f>Info!A122</f>
        <v>dynatrace_monitored_technologies_iis</v>
      </c>
      <c r="F75" t="str">
        <f>Info!G122</f>
        <v>Settings 2.0</v>
      </c>
      <c r="G75" s="7">
        <f>Info!J122</f>
        <v>0</v>
      </c>
      <c r="H75" s="13">
        <f>Info!K122</f>
        <v>0</v>
      </c>
      <c r="I75" s="13">
        <f>Info!L122</f>
        <v>0</v>
      </c>
      <c r="J75" s="13">
        <f>Info!M122</f>
        <v>0</v>
      </c>
      <c r="K75" s="13">
        <f>Info!N122</f>
        <v>0</v>
      </c>
      <c r="L75" s="13">
        <f>Info!O122</f>
        <v>0</v>
      </c>
      <c r="M75" s="13">
        <f>Info!P122</f>
        <v>0</v>
      </c>
      <c r="N75" s="13">
        <f>Info!Q122</f>
        <v>0</v>
      </c>
      <c r="O75" s="13">
        <f>Info!R122</f>
        <v>0</v>
      </c>
      <c r="P75" s="13">
        <f>Info!S122</f>
        <v>0</v>
      </c>
      <c r="Q75" s="13">
        <f>Info!T122</f>
        <v>0</v>
      </c>
      <c r="R75" s="13">
        <f>Info!U122</f>
        <v>0</v>
      </c>
      <c r="S75" s="13">
        <f>Info!V122</f>
        <v>0</v>
      </c>
      <c r="T75" s="13">
        <f>Info!W122</f>
        <v>0</v>
      </c>
      <c r="U75" s="13">
        <f>Info!X122</f>
        <v>0</v>
      </c>
      <c r="V75" s="13">
        <f>Info!Y122</f>
        <v>0</v>
      </c>
      <c r="W75" t="str">
        <f>Info!H122</f>
        <v>settings.read, settings.write</v>
      </c>
      <c r="X75" s="12"/>
    </row>
    <row r="76" spans="2:24" x14ac:dyDescent="0.2">
      <c r="B76" t="b">
        <v>0</v>
      </c>
      <c r="C76" s="14" t="str" cm="1">
        <f t="array" ref="C76">IF(B76=TRUE,NowStatic(),"")</f>
        <v/>
      </c>
      <c r="D76" s="7">
        <f>Info!I123</f>
        <v>1</v>
      </c>
      <c r="E76" t="str">
        <f>Info!A123</f>
        <v>dynatrace_monitored_technologies_java</v>
      </c>
      <c r="F76" t="str">
        <f>Info!G123</f>
        <v>Settings 2.0</v>
      </c>
      <c r="G76" s="7">
        <f>Info!J123</f>
        <v>0</v>
      </c>
      <c r="H76" s="13">
        <f>Info!K123</f>
        <v>0</v>
      </c>
      <c r="I76" s="13">
        <f>Info!L123</f>
        <v>0</v>
      </c>
      <c r="J76" s="13">
        <f>Info!M123</f>
        <v>0</v>
      </c>
      <c r="K76" s="13">
        <f>Info!N123</f>
        <v>0</v>
      </c>
      <c r="L76" s="13">
        <f>Info!O123</f>
        <v>0</v>
      </c>
      <c r="M76" s="13">
        <f>Info!P123</f>
        <v>0</v>
      </c>
      <c r="N76" s="13">
        <f>Info!Q123</f>
        <v>0</v>
      </c>
      <c r="O76" s="13">
        <f>Info!R123</f>
        <v>0</v>
      </c>
      <c r="P76" s="13">
        <f>Info!S123</f>
        <v>0</v>
      </c>
      <c r="Q76" s="13">
        <f>Info!T123</f>
        <v>0</v>
      </c>
      <c r="R76" s="13">
        <f>Info!U123</f>
        <v>0</v>
      </c>
      <c r="S76" s="13">
        <f>Info!V123</f>
        <v>0</v>
      </c>
      <c r="T76" s="13">
        <f>Info!W123</f>
        <v>0</v>
      </c>
      <c r="U76" s="13">
        <f>Info!X123</f>
        <v>0</v>
      </c>
      <c r="V76" s="13">
        <f>Info!Y123</f>
        <v>0</v>
      </c>
      <c r="W76" t="str">
        <f>Info!H123</f>
        <v>settings.read, settings.write</v>
      </c>
      <c r="X76" s="12"/>
    </row>
    <row r="77" spans="2:24" x14ac:dyDescent="0.2">
      <c r="B77" t="b">
        <v>0</v>
      </c>
      <c r="C77" s="14" t="str" cm="1">
        <f t="array" ref="C77">IF(B77=TRUE,NowStatic(),"")</f>
        <v/>
      </c>
      <c r="D77" s="7">
        <f>Info!I124</f>
        <v>1</v>
      </c>
      <c r="E77" t="str">
        <f>Info!A124</f>
        <v>dynatrace_monitored_technologies_nginx</v>
      </c>
      <c r="F77" t="str">
        <f>Info!G124</f>
        <v>Settings 2.0</v>
      </c>
      <c r="G77" s="7">
        <f>Info!J124</f>
        <v>0</v>
      </c>
      <c r="H77" s="13">
        <f>Info!K124</f>
        <v>0</v>
      </c>
      <c r="I77" s="13">
        <f>Info!L124</f>
        <v>0</v>
      </c>
      <c r="J77" s="13">
        <f>Info!M124</f>
        <v>0</v>
      </c>
      <c r="K77" s="13">
        <f>Info!N124</f>
        <v>0</v>
      </c>
      <c r="L77" s="13">
        <f>Info!O124</f>
        <v>0</v>
      </c>
      <c r="M77" s="13">
        <f>Info!P124</f>
        <v>0</v>
      </c>
      <c r="N77" s="13">
        <f>Info!Q124</f>
        <v>0</v>
      </c>
      <c r="O77" s="13">
        <f>Info!R124</f>
        <v>0</v>
      </c>
      <c r="P77" s="13">
        <f>Info!S124</f>
        <v>0</v>
      </c>
      <c r="Q77" s="13">
        <f>Info!T124</f>
        <v>0</v>
      </c>
      <c r="R77" s="13">
        <f>Info!U124</f>
        <v>0</v>
      </c>
      <c r="S77" s="13">
        <f>Info!V124</f>
        <v>0</v>
      </c>
      <c r="T77" s="13">
        <f>Info!W124</f>
        <v>0</v>
      </c>
      <c r="U77" s="13">
        <f>Info!X124</f>
        <v>0</v>
      </c>
      <c r="V77" s="13">
        <f>Info!Y124</f>
        <v>0</v>
      </c>
      <c r="W77" t="str">
        <f>Info!H124</f>
        <v>settings.read, settings.write</v>
      </c>
      <c r="X77" s="12"/>
    </row>
    <row r="78" spans="2:24" x14ac:dyDescent="0.2">
      <c r="B78" t="b">
        <v>0</v>
      </c>
      <c r="C78" s="14" t="str" cm="1">
        <f t="array" ref="C78">IF(B78=TRUE,NowStatic(),"")</f>
        <v/>
      </c>
      <c r="D78" s="7">
        <f>Info!I125</f>
        <v>1</v>
      </c>
      <c r="E78" t="str">
        <f>Info!A125</f>
        <v>dynatrace_monitored_technologies_nodejs</v>
      </c>
      <c r="F78" t="str">
        <f>Info!G125</f>
        <v>Settings 2.0</v>
      </c>
      <c r="G78" s="7">
        <f>Info!J125</f>
        <v>0</v>
      </c>
      <c r="H78" s="13">
        <f>Info!K125</f>
        <v>0</v>
      </c>
      <c r="I78" s="13">
        <f>Info!L125</f>
        <v>0</v>
      </c>
      <c r="J78" s="13">
        <f>Info!M125</f>
        <v>0</v>
      </c>
      <c r="K78" s="13">
        <f>Info!N125</f>
        <v>0</v>
      </c>
      <c r="L78" s="13">
        <f>Info!O125</f>
        <v>0</v>
      </c>
      <c r="M78" s="13">
        <f>Info!P125</f>
        <v>0</v>
      </c>
      <c r="N78" s="13">
        <f>Info!Q125</f>
        <v>0</v>
      </c>
      <c r="O78" s="13">
        <f>Info!R125</f>
        <v>0</v>
      </c>
      <c r="P78" s="13">
        <f>Info!S125</f>
        <v>0</v>
      </c>
      <c r="Q78" s="13">
        <f>Info!T125</f>
        <v>0</v>
      </c>
      <c r="R78" s="13">
        <f>Info!U125</f>
        <v>0</v>
      </c>
      <c r="S78" s="13">
        <f>Info!V125</f>
        <v>0</v>
      </c>
      <c r="T78" s="13">
        <f>Info!W125</f>
        <v>0</v>
      </c>
      <c r="U78" s="13">
        <f>Info!X125</f>
        <v>0</v>
      </c>
      <c r="V78" s="13">
        <f>Info!Y125</f>
        <v>0</v>
      </c>
      <c r="W78" t="str">
        <f>Info!H125</f>
        <v>settings.read, settings.write</v>
      </c>
      <c r="X78" s="12"/>
    </row>
    <row r="79" spans="2:24" x14ac:dyDescent="0.2">
      <c r="B79" t="b">
        <v>0</v>
      </c>
      <c r="C79" s="14" t="str" cm="1">
        <f t="array" ref="C79">IF(B79=TRUE,NowStatic(),"")</f>
        <v/>
      </c>
      <c r="D79" s="7">
        <f>Info!I126</f>
        <v>1</v>
      </c>
      <c r="E79" t="str">
        <f>Info!A126</f>
        <v>dynatrace_monitored_technologies_opentracing</v>
      </c>
      <c r="F79" t="str">
        <f>Info!G126</f>
        <v>Settings 2.0</v>
      </c>
      <c r="G79" s="7">
        <f>Info!J126</f>
        <v>0</v>
      </c>
      <c r="H79" s="13">
        <f>Info!K126</f>
        <v>0</v>
      </c>
      <c r="I79" s="13">
        <f>Info!L126</f>
        <v>0</v>
      </c>
      <c r="J79" s="13">
        <f>Info!M126</f>
        <v>0</v>
      </c>
      <c r="K79" s="13">
        <f>Info!N126</f>
        <v>0</v>
      </c>
      <c r="L79" s="13">
        <f>Info!O126</f>
        <v>0</v>
      </c>
      <c r="M79" s="13">
        <f>Info!P126</f>
        <v>0</v>
      </c>
      <c r="N79" s="13">
        <f>Info!Q126</f>
        <v>0</v>
      </c>
      <c r="O79" s="13">
        <f>Info!R126</f>
        <v>0</v>
      </c>
      <c r="P79" s="13">
        <f>Info!S126</f>
        <v>0</v>
      </c>
      <c r="Q79" s="13">
        <f>Info!T126</f>
        <v>0</v>
      </c>
      <c r="R79" s="13">
        <f>Info!U126</f>
        <v>0</v>
      </c>
      <c r="S79" s="13">
        <f>Info!V126</f>
        <v>0</v>
      </c>
      <c r="T79" s="13">
        <f>Info!W126</f>
        <v>0</v>
      </c>
      <c r="U79" s="13">
        <f>Info!X126</f>
        <v>0</v>
      </c>
      <c r="V79" s="13">
        <f>Info!Y126</f>
        <v>0</v>
      </c>
      <c r="W79" t="str">
        <f>Info!H126</f>
        <v>settings.read, settings.write</v>
      </c>
      <c r="X79" s="12"/>
    </row>
    <row r="80" spans="2:24" x14ac:dyDescent="0.2">
      <c r="B80" t="b">
        <v>0</v>
      </c>
      <c r="C80" s="14" t="str" cm="1">
        <f t="array" ref="C80">IF(B80=TRUE,NowStatic(),"")</f>
        <v/>
      </c>
      <c r="D80" s="7">
        <f>Info!I127</f>
        <v>1</v>
      </c>
      <c r="E80" t="str">
        <f>Info!A127</f>
        <v>dynatrace_monitored_technologies_php</v>
      </c>
      <c r="F80" t="str">
        <f>Info!G127</f>
        <v>Settings 2.0</v>
      </c>
      <c r="G80" s="7">
        <f>Info!J127</f>
        <v>0</v>
      </c>
      <c r="H80" s="13">
        <f>Info!K127</f>
        <v>0</v>
      </c>
      <c r="I80" s="13">
        <f>Info!L127</f>
        <v>0</v>
      </c>
      <c r="J80" s="13">
        <f>Info!M127</f>
        <v>0</v>
      </c>
      <c r="K80" s="13">
        <f>Info!N127</f>
        <v>0</v>
      </c>
      <c r="L80" s="13">
        <f>Info!O127</f>
        <v>0</v>
      </c>
      <c r="M80" s="13">
        <f>Info!P127</f>
        <v>0</v>
      </c>
      <c r="N80" s="13">
        <f>Info!Q127</f>
        <v>0</v>
      </c>
      <c r="O80" s="13">
        <f>Info!R127</f>
        <v>0</v>
      </c>
      <c r="P80" s="13">
        <f>Info!S127</f>
        <v>0</v>
      </c>
      <c r="Q80" s="13">
        <f>Info!T127</f>
        <v>0</v>
      </c>
      <c r="R80" s="13">
        <f>Info!U127</f>
        <v>0</v>
      </c>
      <c r="S80" s="13">
        <f>Info!V127</f>
        <v>0</v>
      </c>
      <c r="T80" s="13">
        <f>Info!W127</f>
        <v>0</v>
      </c>
      <c r="U80" s="13">
        <f>Info!X127</f>
        <v>0</v>
      </c>
      <c r="V80" s="13">
        <f>Info!Y127</f>
        <v>0</v>
      </c>
      <c r="W80" t="str">
        <f>Info!H127</f>
        <v>settings.read, settings.write</v>
      </c>
      <c r="X80" s="12"/>
    </row>
    <row r="81" spans="2:24" x14ac:dyDescent="0.2">
      <c r="B81" t="b">
        <v>0</v>
      </c>
      <c r="C81" s="14" t="str" cm="1">
        <f t="array" ref="C81">IF(B81=TRUE,NowStatic(),"")</f>
        <v/>
      </c>
      <c r="D81" s="7">
        <f>Info!I128</f>
        <v>1</v>
      </c>
      <c r="E81" t="str">
        <f>Info!A128</f>
        <v>dynatrace_monitored_technologies_varnish</v>
      </c>
      <c r="F81" t="str">
        <f>Info!G128</f>
        <v>Settings 2.0</v>
      </c>
      <c r="G81" s="7">
        <f>Info!J128</f>
        <v>0</v>
      </c>
      <c r="H81" s="13">
        <f>Info!K128</f>
        <v>0</v>
      </c>
      <c r="I81" s="13">
        <f>Info!L128</f>
        <v>0</v>
      </c>
      <c r="J81" s="13">
        <f>Info!M128</f>
        <v>0</v>
      </c>
      <c r="K81" s="13">
        <f>Info!N128</f>
        <v>0</v>
      </c>
      <c r="L81" s="13">
        <f>Info!O128</f>
        <v>0</v>
      </c>
      <c r="M81" s="13">
        <f>Info!P128</f>
        <v>0</v>
      </c>
      <c r="N81" s="13">
        <f>Info!Q128</f>
        <v>0</v>
      </c>
      <c r="O81" s="13">
        <f>Info!R128</f>
        <v>0</v>
      </c>
      <c r="P81" s="13">
        <f>Info!S128</f>
        <v>0</v>
      </c>
      <c r="Q81" s="13">
        <f>Info!T128</f>
        <v>0</v>
      </c>
      <c r="R81" s="13">
        <f>Info!U128</f>
        <v>0</v>
      </c>
      <c r="S81" s="13">
        <f>Info!V128</f>
        <v>0</v>
      </c>
      <c r="T81" s="13">
        <f>Info!W128</f>
        <v>0</v>
      </c>
      <c r="U81" s="13">
        <f>Info!X128</f>
        <v>0</v>
      </c>
      <c r="V81" s="13">
        <f>Info!Y128</f>
        <v>0</v>
      </c>
      <c r="W81" t="str">
        <f>Info!H128</f>
        <v>settings.read, settings.write</v>
      </c>
      <c r="X81" s="12"/>
    </row>
    <row r="82" spans="2:24" x14ac:dyDescent="0.2">
      <c r="B82" t="b">
        <v>0</v>
      </c>
      <c r="C82" s="14" t="str" cm="1">
        <f t="array" ref="C82">IF(B82=TRUE,NowStatic(),"")</f>
        <v/>
      </c>
      <c r="D82" s="7">
        <f>Info!I129</f>
        <v>1</v>
      </c>
      <c r="E82" t="str">
        <f>Info!A129</f>
        <v>dynatrace_monitored_technologies_wsmb</v>
      </c>
      <c r="F82" t="str">
        <f>Info!G129</f>
        <v>Settings 2.0</v>
      </c>
      <c r="G82" s="7">
        <f>Info!J129</f>
        <v>0</v>
      </c>
      <c r="H82" s="13">
        <f>Info!K129</f>
        <v>0</v>
      </c>
      <c r="I82" s="13">
        <f>Info!L129</f>
        <v>0</v>
      </c>
      <c r="J82" s="13">
        <f>Info!M129</f>
        <v>0</v>
      </c>
      <c r="K82" s="13">
        <f>Info!N129</f>
        <v>0</v>
      </c>
      <c r="L82" s="13">
        <f>Info!O129</f>
        <v>0</v>
      </c>
      <c r="M82" s="13">
        <f>Info!P129</f>
        <v>0</v>
      </c>
      <c r="N82" s="13">
        <f>Info!Q129</f>
        <v>0</v>
      </c>
      <c r="O82" s="13">
        <f>Info!R129</f>
        <v>0</v>
      </c>
      <c r="P82" s="13">
        <f>Info!S129</f>
        <v>0</v>
      </c>
      <c r="Q82" s="13">
        <f>Info!T129</f>
        <v>0</v>
      </c>
      <c r="R82" s="13">
        <f>Info!U129</f>
        <v>0</v>
      </c>
      <c r="S82" s="13">
        <f>Info!V129</f>
        <v>0</v>
      </c>
      <c r="T82" s="13">
        <f>Info!W129</f>
        <v>0</v>
      </c>
      <c r="U82" s="13">
        <f>Info!X129</f>
        <v>0</v>
      </c>
      <c r="V82" s="13">
        <f>Info!Y129</f>
        <v>0</v>
      </c>
      <c r="W82" t="str">
        <f>Info!H129</f>
        <v>settings.read, settings.write</v>
      </c>
      <c r="X82" s="12"/>
    </row>
    <row r="83" spans="2:24" x14ac:dyDescent="0.2">
      <c r="B83" t="b">
        <v>0</v>
      </c>
      <c r="C83" s="14" t="str" cm="1">
        <f t="array" ref="C83">IF(B83=TRUE,NowStatic(),"")</f>
        <v/>
      </c>
      <c r="D83" s="7">
        <f>Info!I130</f>
        <v>1</v>
      </c>
      <c r="E83" t="str">
        <f>Info!A130</f>
        <v>dynatrace_muted_requests</v>
      </c>
      <c r="F83" t="str">
        <f>Info!G130</f>
        <v>Settings 2.0</v>
      </c>
      <c r="G83" s="7">
        <f>Info!J130</f>
        <v>0</v>
      </c>
      <c r="H83" s="13">
        <f>Info!K130</f>
        <v>0</v>
      </c>
      <c r="I83" s="13">
        <f>Info!L130</f>
        <v>0</v>
      </c>
      <c r="J83" s="13">
        <f>Info!M130</f>
        <v>0</v>
      </c>
      <c r="K83" s="13">
        <f>Info!N130</f>
        <v>0</v>
      </c>
      <c r="L83" s="13">
        <f>Info!O130</f>
        <v>0</v>
      </c>
      <c r="M83" s="13">
        <f>Info!P130</f>
        <v>0</v>
      </c>
      <c r="N83" s="13">
        <f>Info!Q130</f>
        <v>0</v>
      </c>
      <c r="O83" s="13">
        <f>Info!R130</f>
        <v>0</v>
      </c>
      <c r="P83" s="13">
        <f>Info!S130</f>
        <v>0</v>
      </c>
      <c r="Q83" s="13">
        <f>Info!T130</f>
        <v>0</v>
      </c>
      <c r="R83" s="13">
        <f>Info!U130</f>
        <v>0</v>
      </c>
      <c r="S83" s="13">
        <f>Info!V130</f>
        <v>0</v>
      </c>
      <c r="T83" s="13">
        <f>Info!W130</f>
        <v>0</v>
      </c>
      <c r="U83" s="13">
        <f>Info!X130</f>
        <v>0</v>
      </c>
      <c r="V83" s="13">
        <f>Info!Y130</f>
        <v>0</v>
      </c>
      <c r="W83" t="str">
        <f>Info!H130</f>
        <v>settings.read, settings.write</v>
      </c>
      <c r="X83" s="12"/>
    </row>
    <row r="84" spans="2:24" x14ac:dyDescent="0.2">
      <c r="B84" t="b">
        <v>0</v>
      </c>
      <c r="C84" s="14" t="str" cm="1">
        <f t="array" ref="C84">IF(B84=TRUE,NowStatic(),"")</f>
        <v/>
      </c>
      <c r="D84" s="7">
        <f>Info!I131</f>
        <v>1</v>
      </c>
      <c r="E84" t="str">
        <f>Info!A131</f>
        <v>dynatrace_nettracer</v>
      </c>
      <c r="F84" t="str">
        <f>Info!G131</f>
        <v>Settings 2.0</v>
      </c>
      <c r="G84" s="7">
        <f>Info!J131</f>
        <v>0</v>
      </c>
      <c r="H84" s="13">
        <f>Info!K131</f>
        <v>0</v>
      </c>
      <c r="I84" s="13">
        <f>Info!L131</f>
        <v>0</v>
      </c>
      <c r="J84" s="13">
        <f>Info!M131</f>
        <v>0</v>
      </c>
      <c r="K84" s="13">
        <f>Info!N131</f>
        <v>0</v>
      </c>
      <c r="L84" s="13">
        <f>Info!O131</f>
        <v>0</v>
      </c>
      <c r="M84" s="13">
        <f>Info!P131</f>
        <v>0</v>
      </c>
      <c r="N84" s="13">
        <f>Info!Q131</f>
        <v>0</v>
      </c>
      <c r="O84" s="13">
        <f>Info!R131</f>
        <v>0</v>
      </c>
      <c r="P84" s="13">
        <f>Info!S131</f>
        <v>0</v>
      </c>
      <c r="Q84" s="13">
        <f>Info!T131</f>
        <v>0</v>
      </c>
      <c r="R84" s="13">
        <f>Info!U131</f>
        <v>0</v>
      </c>
      <c r="S84" s="13">
        <f>Info!V131</f>
        <v>0</v>
      </c>
      <c r="T84" s="13">
        <f>Info!W131</f>
        <v>0</v>
      </c>
      <c r="U84" s="13">
        <f>Info!X131</f>
        <v>0</v>
      </c>
      <c r="V84" s="13">
        <f>Info!Y131</f>
        <v>0</v>
      </c>
      <c r="W84" t="str">
        <f>Info!H131</f>
        <v>settings.read, settings.write</v>
      </c>
      <c r="X84" s="12"/>
    </row>
    <row r="85" spans="2:24" x14ac:dyDescent="0.2">
      <c r="B85" t="b">
        <v>0</v>
      </c>
      <c r="C85" s="14" t="str" cm="1">
        <f t="array" ref="C85">IF(B85=TRUE,NowStatic(),"")</f>
        <v/>
      </c>
      <c r="D85" s="7">
        <f>Info!I132</f>
        <v>1</v>
      </c>
      <c r="E85" t="str">
        <f>Info!A132</f>
        <v>dynatrace_network_traffic</v>
      </c>
      <c r="F85" t="str">
        <f>Info!G132</f>
        <v>Settings 2.0</v>
      </c>
      <c r="G85" s="7">
        <f>Info!J132</f>
        <v>0</v>
      </c>
      <c r="H85" s="13">
        <f>Info!K132</f>
        <v>0</v>
      </c>
      <c r="I85" s="13">
        <f>Info!L132</f>
        <v>0</v>
      </c>
      <c r="J85" s="13">
        <f>Info!M132</f>
        <v>0</v>
      </c>
      <c r="K85" s="13">
        <f>Info!N132</f>
        <v>0</v>
      </c>
      <c r="L85" s="13">
        <f>Info!O132</f>
        <v>0</v>
      </c>
      <c r="M85" s="13">
        <f>Info!P132</f>
        <v>0</v>
      </c>
      <c r="N85" s="13">
        <f>Info!Q132</f>
        <v>0</v>
      </c>
      <c r="O85" s="13">
        <f>Info!R132</f>
        <v>0</v>
      </c>
      <c r="P85" s="13">
        <f>Info!S132</f>
        <v>0</v>
      </c>
      <c r="Q85" s="13">
        <f>Info!T132</f>
        <v>0</v>
      </c>
      <c r="R85" s="13">
        <f>Info!U132</f>
        <v>0</v>
      </c>
      <c r="S85" s="13">
        <f>Info!V132</f>
        <v>0</v>
      </c>
      <c r="T85" s="13">
        <f>Info!W132</f>
        <v>0</v>
      </c>
      <c r="U85" s="13">
        <f>Info!X132</f>
        <v>0</v>
      </c>
      <c r="V85" s="13">
        <f>Info!Y132</f>
        <v>0</v>
      </c>
      <c r="W85" t="str">
        <f>Info!H132</f>
        <v>settings.read, settings.write</v>
      </c>
      <c r="X85" s="12"/>
    </row>
    <row r="86" spans="2:24" x14ac:dyDescent="0.2">
      <c r="B86" t="b">
        <v>0</v>
      </c>
      <c r="C86" s="14" t="str" cm="1">
        <f t="array" ref="C86">IF(B86=TRUE,NowStatic(),"")</f>
        <v/>
      </c>
      <c r="D86" s="7">
        <f>Info!I134</f>
        <v>1</v>
      </c>
      <c r="E86" t="str">
        <f>Info!A134</f>
        <v>dynatrace_network_zone</v>
      </c>
      <c r="F86" t="str">
        <f>Info!G134</f>
        <v>Environment v2</v>
      </c>
      <c r="G86" s="7">
        <f>Info!J134</f>
        <v>0</v>
      </c>
      <c r="H86" s="13">
        <f>Info!K134</f>
        <v>0</v>
      </c>
      <c r="I86" s="13">
        <f>Info!L134</f>
        <v>0</v>
      </c>
      <c r="J86" s="13">
        <f>Info!M134</f>
        <v>0</v>
      </c>
      <c r="K86" s="13">
        <f>Info!N134</f>
        <v>0</v>
      </c>
      <c r="L86" s="13">
        <f>Info!O134</f>
        <v>0</v>
      </c>
      <c r="M86" s="13">
        <f>Info!P134</f>
        <v>0</v>
      </c>
      <c r="N86" s="13">
        <f>Info!Q134</f>
        <v>0</v>
      </c>
      <c r="O86" s="13">
        <f>Info!R134</f>
        <v>0</v>
      </c>
      <c r="P86" s="13">
        <f>Info!S134</f>
        <v>0</v>
      </c>
      <c r="Q86" s="13">
        <f>Info!T134</f>
        <v>0</v>
      </c>
      <c r="R86" s="13">
        <f>Info!U134</f>
        <v>0</v>
      </c>
      <c r="S86" s="13">
        <f>Info!V134</f>
        <v>0</v>
      </c>
      <c r="T86" s="13">
        <f>Info!W134</f>
        <v>0</v>
      </c>
      <c r="U86" s="13">
        <f>Info!X134</f>
        <v>0</v>
      </c>
      <c r="V86" s="13">
        <f>Info!Y134</f>
        <v>0</v>
      </c>
      <c r="W86" t="str">
        <f>Info!H134</f>
        <v>networkZones.read, networkZones.write</v>
      </c>
      <c r="X86" s="12"/>
    </row>
    <row r="87" spans="2:24" x14ac:dyDescent="0.2">
      <c r="B87" t="b">
        <v>0</v>
      </c>
      <c r="C87" s="14" t="str" cm="1">
        <f t="array" ref="C87">IF(B87=TRUE,NowStatic(),"")</f>
        <v/>
      </c>
      <c r="D87" s="7">
        <f>Info!I133</f>
        <v>1</v>
      </c>
      <c r="E87" t="str">
        <f>Info!A133</f>
        <v>dynatrace_network_zones</v>
      </c>
      <c r="F87" t="str">
        <f>Info!G133</f>
        <v>Settings 2.0</v>
      </c>
      <c r="G87" s="7">
        <f>Info!J133</f>
        <v>0</v>
      </c>
      <c r="H87" s="13">
        <f>Info!K133</f>
        <v>0</v>
      </c>
      <c r="I87" s="13">
        <f>Info!L133</f>
        <v>0</v>
      </c>
      <c r="J87" s="13">
        <f>Info!M133</f>
        <v>0</v>
      </c>
      <c r="K87" s="13">
        <f>Info!N133</f>
        <v>0</v>
      </c>
      <c r="L87" s="13">
        <f>Info!O133</f>
        <v>0</v>
      </c>
      <c r="M87" s="13">
        <f>Info!P133</f>
        <v>0</v>
      </c>
      <c r="N87" s="13">
        <f>Info!Q133</f>
        <v>0</v>
      </c>
      <c r="O87" s="13">
        <f>Info!R133</f>
        <v>0</v>
      </c>
      <c r="P87" s="13">
        <f>Info!S133</f>
        <v>0</v>
      </c>
      <c r="Q87" s="13">
        <f>Info!T133</f>
        <v>0</v>
      </c>
      <c r="R87" s="13">
        <f>Info!U133</f>
        <v>0</v>
      </c>
      <c r="S87" s="13">
        <f>Info!V133</f>
        <v>0</v>
      </c>
      <c r="T87" s="13">
        <f>Info!W133</f>
        <v>0</v>
      </c>
      <c r="U87" s="13">
        <f>Info!X133</f>
        <v>0</v>
      </c>
      <c r="V87" s="13">
        <f>Info!Y133</f>
        <v>0</v>
      </c>
      <c r="W87" t="str">
        <f>Info!H133</f>
        <v>settings.read, settings.write</v>
      </c>
      <c r="X87" s="12"/>
    </row>
    <row r="88" spans="2:24" x14ac:dyDescent="0.2">
      <c r="B88" t="b">
        <v>0</v>
      </c>
      <c r="C88" s="14" t="str" cm="1">
        <f t="array" ref="C88">IF(B88=TRUE,NowStatic(),"")</f>
        <v/>
      </c>
      <c r="D88" s="7">
        <f>Info!I136</f>
        <v>1</v>
      </c>
      <c r="E88" t="str">
        <f>Info!A136</f>
        <v>dynatrace_oneagent_default_version</v>
      </c>
      <c r="F88" t="str">
        <f>Info!G136</f>
        <v>Settings 2.0</v>
      </c>
      <c r="G88" s="7">
        <f>Info!J136</f>
        <v>0</v>
      </c>
      <c r="H88" s="13">
        <f>Info!K136</f>
        <v>0</v>
      </c>
      <c r="I88" s="13">
        <f>Info!L136</f>
        <v>0</v>
      </c>
      <c r="J88" s="13">
        <f>Info!M136</f>
        <v>0</v>
      </c>
      <c r="K88" s="13">
        <f>Info!N136</f>
        <v>0</v>
      </c>
      <c r="L88" s="13">
        <f>Info!O136</f>
        <v>0</v>
      </c>
      <c r="M88" s="13">
        <f>Info!P136</f>
        <v>0</v>
      </c>
      <c r="N88" s="13">
        <f>Info!Q136</f>
        <v>0</v>
      </c>
      <c r="O88" s="13">
        <f>Info!R136</f>
        <v>0</v>
      </c>
      <c r="P88" s="13">
        <f>Info!S136</f>
        <v>0</v>
      </c>
      <c r="Q88" s="13">
        <f>Info!T136</f>
        <v>0</v>
      </c>
      <c r="R88" s="13">
        <f>Info!U136</f>
        <v>0</v>
      </c>
      <c r="S88" s="13">
        <f>Info!V136</f>
        <v>0</v>
      </c>
      <c r="T88" s="13">
        <f>Info!W136</f>
        <v>0</v>
      </c>
      <c r="U88" s="13">
        <f>Info!X136</f>
        <v>0</v>
      </c>
      <c r="V88" s="13">
        <f>Info!Y136</f>
        <v>0</v>
      </c>
      <c r="W88" t="str">
        <f>Info!H136</f>
        <v>settings.read, settings.write</v>
      </c>
      <c r="X88" s="12"/>
    </row>
    <row r="89" spans="2:24" x14ac:dyDescent="0.2">
      <c r="B89" t="b">
        <v>0</v>
      </c>
      <c r="C89" s="14" t="str" cm="1">
        <f t="array" ref="C89">IF(B89=TRUE,NowStatic(),"")</f>
        <v/>
      </c>
      <c r="D89" s="7">
        <f>Info!I137</f>
        <v>1</v>
      </c>
      <c r="E89" t="str">
        <f>Info!A137</f>
        <v>dynatrace_oneagent_features</v>
      </c>
      <c r="F89" t="str">
        <f>Info!G137</f>
        <v>Settings 2.0</v>
      </c>
      <c r="G89" s="7">
        <f>Info!J137</f>
        <v>0</v>
      </c>
      <c r="H89" s="13">
        <f>Info!K137</f>
        <v>0</v>
      </c>
      <c r="I89" s="13">
        <f>Info!L137</f>
        <v>0</v>
      </c>
      <c r="J89" s="13">
        <f>Info!M137</f>
        <v>0</v>
      </c>
      <c r="K89" s="13">
        <f>Info!N137</f>
        <v>0</v>
      </c>
      <c r="L89" s="13">
        <f>Info!O137</f>
        <v>0</v>
      </c>
      <c r="M89" s="13">
        <f>Info!P137</f>
        <v>0</v>
      </c>
      <c r="N89" s="13">
        <f>Info!Q137</f>
        <v>0</v>
      </c>
      <c r="O89" s="13">
        <f>Info!R137</f>
        <v>0</v>
      </c>
      <c r="P89" s="13">
        <f>Info!S137</f>
        <v>0</v>
      </c>
      <c r="Q89" s="13">
        <f>Info!T137</f>
        <v>0</v>
      </c>
      <c r="R89" s="13">
        <f>Info!U137</f>
        <v>0</v>
      </c>
      <c r="S89" s="13">
        <f>Info!V137</f>
        <v>0</v>
      </c>
      <c r="T89" s="13">
        <f>Info!W137</f>
        <v>0</v>
      </c>
      <c r="U89" s="13">
        <f>Info!X137</f>
        <v>0</v>
      </c>
      <c r="V89" s="13">
        <f>Info!Y137</f>
        <v>0</v>
      </c>
      <c r="W89" t="str">
        <f>Info!H137</f>
        <v>settings.read, settings.write</v>
      </c>
      <c r="X89" s="12"/>
    </row>
    <row r="90" spans="2:24" x14ac:dyDescent="0.2">
      <c r="B90" t="b">
        <v>0</v>
      </c>
      <c r="C90" s="14" t="str" cm="1">
        <f t="array" ref="C90">IF(B90=TRUE,NowStatic(),"")</f>
        <v/>
      </c>
      <c r="D90" s="7">
        <f>Info!I139</f>
        <v>1</v>
      </c>
      <c r="E90" t="str">
        <f>Info!A139</f>
        <v>dynatrace_opentelemetry_metrics</v>
      </c>
      <c r="F90" t="str">
        <f>Info!G139</f>
        <v>Settings 2.0</v>
      </c>
      <c r="G90" s="7">
        <f>Info!J139</f>
        <v>0</v>
      </c>
      <c r="H90" s="13">
        <f>Info!K139</f>
        <v>0</v>
      </c>
      <c r="I90" s="13">
        <f>Info!L139</f>
        <v>0</v>
      </c>
      <c r="J90" s="13">
        <f>Info!M139</f>
        <v>0</v>
      </c>
      <c r="K90" s="13">
        <f>Info!N139</f>
        <v>0</v>
      </c>
      <c r="L90" s="13">
        <f>Info!O139</f>
        <v>0</v>
      </c>
      <c r="M90" s="13">
        <f>Info!P139</f>
        <v>0</v>
      </c>
      <c r="N90" s="13">
        <f>Info!Q139</f>
        <v>0</v>
      </c>
      <c r="O90" s="13">
        <f>Info!R139</f>
        <v>0</v>
      </c>
      <c r="P90" s="13">
        <f>Info!S139</f>
        <v>0</v>
      </c>
      <c r="Q90" s="13">
        <f>Info!T139</f>
        <v>0</v>
      </c>
      <c r="R90" s="13">
        <f>Info!U139</f>
        <v>0</v>
      </c>
      <c r="S90" s="13">
        <f>Info!V139</f>
        <v>0</v>
      </c>
      <c r="T90" s="13">
        <f>Info!W139</f>
        <v>0</v>
      </c>
      <c r="U90" s="13">
        <f>Info!X139</f>
        <v>0</v>
      </c>
      <c r="V90" s="13">
        <f>Info!Y139</f>
        <v>0</v>
      </c>
      <c r="W90" t="str">
        <f>Info!H139</f>
        <v>settings.read, settings.write</v>
      </c>
      <c r="X90" s="12"/>
    </row>
    <row r="91" spans="2:24" x14ac:dyDescent="0.2">
      <c r="B91" t="b">
        <v>0</v>
      </c>
      <c r="C91" s="14" t="str" cm="1">
        <f t="array" ref="C91">IF(B91=TRUE,NowStatic(),"")</f>
        <v/>
      </c>
      <c r="D91" s="7">
        <f>Info!I141</f>
        <v>1</v>
      </c>
      <c r="E91" t="str">
        <f>Info!A141</f>
        <v>dynatrace_os_services</v>
      </c>
      <c r="F91" t="str">
        <f>Info!G141</f>
        <v>Settings 2.0</v>
      </c>
      <c r="G91" s="7">
        <f>Info!J141</f>
        <v>0</v>
      </c>
      <c r="H91" s="13">
        <f>Info!K141</f>
        <v>0</v>
      </c>
      <c r="I91" s="13">
        <f>Info!L141</f>
        <v>0</v>
      </c>
      <c r="J91" s="13">
        <f>Info!M141</f>
        <v>0</v>
      </c>
      <c r="K91" s="13">
        <f>Info!N141</f>
        <v>0</v>
      </c>
      <c r="L91" s="13">
        <f>Info!O141</f>
        <v>0</v>
      </c>
      <c r="M91" s="13">
        <f>Info!P141</f>
        <v>0</v>
      </c>
      <c r="N91" s="13">
        <f>Info!Q141</f>
        <v>0</v>
      </c>
      <c r="O91" s="13">
        <f>Info!R141</f>
        <v>0</v>
      </c>
      <c r="P91" s="13">
        <f>Info!S141</f>
        <v>0</v>
      </c>
      <c r="Q91" s="13">
        <f>Info!T141</f>
        <v>0</v>
      </c>
      <c r="R91" s="13">
        <f>Info!U141</f>
        <v>0</v>
      </c>
      <c r="S91" s="13">
        <f>Info!V141</f>
        <v>0</v>
      </c>
      <c r="T91" s="13">
        <f>Info!W141</f>
        <v>0</v>
      </c>
      <c r="U91" s="13">
        <f>Info!X141</f>
        <v>0</v>
      </c>
      <c r="V91" s="13">
        <f>Info!Y141</f>
        <v>0</v>
      </c>
      <c r="W91" t="str">
        <f>Info!H141</f>
        <v>settings.read, settings.write</v>
      </c>
      <c r="X91" s="12"/>
    </row>
    <row r="92" spans="2:24" x14ac:dyDescent="0.2">
      <c r="B92" t="b">
        <v>0</v>
      </c>
      <c r="C92" s="14" t="str" cm="1">
        <f t="array" ref="C92">IF(B92=TRUE,NowStatic(),"")</f>
        <v/>
      </c>
      <c r="D92" s="7">
        <f>Info!I142</f>
        <v>1</v>
      </c>
      <c r="E92" t="str">
        <f>Info!A142</f>
        <v>dynatrace_ownership_config</v>
      </c>
      <c r="F92" t="str">
        <f>Info!G142</f>
        <v>Settings 2.0</v>
      </c>
      <c r="G92" s="7">
        <f>Info!J142</f>
        <v>0</v>
      </c>
      <c r="H92" s="13">
        <f>Info!K142</f>
        <v>0</v>
      </c>
      <c r="I92" s="13">
        <f>Info!L142</f>
        <v>0</v>
      </c>
      <c r="J92" s="13">
        <f>Info!M142</f>
        <v>0</v>
      </c>
      <c r="K92" s="13">
        <f>Info!N142</f>
        <v>0</v>
      </c>
      <c r="L92" s="13">
        <f>Info!O142</f>
        <v>0</v>
      </c>
      <c r="M92" s="13">
        <f>Info!P142</f>
        <v>0</v>
      </c>
      <c r="N92" s="13">
        <f>Info!Q142</f>
        <v>0</v>
      </c>
      <c r="O92" s="13">
        <f>Info!R142</f>
        <v>0</v>
      </c>
      <c r="P92" s="13">
        <f>Info!S142</f>
        <v>0</v>
      </c>
      <c r="Q92" s="13">
        <f>Info!T142</f>
        <v>0</v>
      </c>
      <c r="R92" s="13">
        <f>Info!U142</f>
        <v>0</v>
      </c>
      <c r="S92" s="13">
        <f>Info!V142</f>
        <v>0</v>
      </c>
      <c r="T92" s="13">
        <f>Info!W142</f>
        <v>0</v>
      </c>
      <c r="U92" s="13">
        <f>Info!X142</f>
        <v>0</v>
      </c>
      <c r="V92" s="13">
        <f>Info!Y142</f>
        <v>0</v>
      </c>
      <c r="W92" t="str">
        <f>Info!H142</f>
        <v>settings.read, settings.write</v>
      </c>
      <c r="X92" s="12"/>
    </row>
    <row r="93" spans="2:24" x14ac:dyDescent="0.2">
      <c r="B93" t="b">
        <v>0</v>
      </c>
      <c r="C93" s="14" t="str" cm="1">
        <f t="array" ref="C93">IF(B93=TRUE,NowStatic(),"")</f>
        <v/>
      </c>
      <c r="D93" s="7">
        <f>Info!I143</f>
        <v>1</v>
      </c>
      <c r="E93" t="str">
        <f>Info!A143</f>
        <v>dynatrace_ownership_teams</v>
      </c>
      <c r="F93" t="str">
        <f>Info!G143</f>
        <v>Settings 2.0</v>
      </c>
      <c r="G93" s="7">
        <f>Info!J143</f>
        <v>0</v>
      </c>
      <c r="H93" s="13">
        <f>Info!K143</f>
        <v>0</v>
      </c>
      <c r="I93" s="13">
        <f>Info!L143</f>
        <v>0</v>
      </c>
      <c r="J93" s="13">
        <f>Info!M143</f>
        <v>0</v>
      </c>
      <c r="K93" s="13">
        <f>Info!N143</f>
        <v>0</v>
      </c>
      <c r="L93" s="13">
        <f>Info!O143</f>
        <v>0</v>
      </c>
      <c r="M93" s="13">
        <f>Info!P143</f>
        <v>0</v>
      </c>
      <c r="N93" s="13">
        <f>Info!Q143</f>
        <v>0</v>
      </c>
      <c r="O93" s="13">
        <f>Info!R143</f>
        <v>0</v>
      </c>
      <c r="P93" s="13">
        <f>Info!S143</f>
        <v>0</v>
      </c>
      <c r="Q93" s="13">
        <f>Info!T143</f>
        <v>0</v>
      </c>
      <c r="R93" s="13">
        <f>Info!U143</f>
        <v>0</v>
      </c>
      <c r="S93" s="13">
        <f>Info!V143</f>
        <v>0</v>
      </c>
      <c r="T93" s="13">
        <f>Info!W143</f>
        <v>0</v>
      </c>
      <c r="U93" s="13">
        <f>Info!X143</f>
        <v>0</v>
      </c>
      <c r="V93" s="13">
        <f>Info!Y143</f>
        <v>0</v>
      </c>
      <c r="W93" t="str">
        <f>Info!H143</f>
        <v>settings.read, settings.write</v>
      </c>
      <c r="X93" s="12"/>
    </row>
    <row r="94" spans="2:24" x14ac:dyDescent="0.2">
      <c r="B94" t="b">
        <v>0</v>
      </c>
      <c r="C94" s="14" t="str" cm="1">
        <f t="array" ref="C94">IF(B94=TRUE,NowStatic(),"")</f>
        <v/>
      </c>
      <c r="D94" s="7">
        <f>Info!I145</f>
        <v>1</v>
      </c>
      <c r="E94" t="str">
        <f>Info!A145</f>
        <v>dynatrace_pg_alerting</v>
      </c>
      <c r="F94" t="str">
        <f>Info!G145</f>
        <v>Settings 2.0</v>
      </c>
      <c r="G94" s="7">
        <f>Info!J145</f>
        <v>0</v>
      </c>
      <c r="H94" s="13">
        <f>Info!K145</f>
        <v>0</v>
      </c>
      <c r="I94" s="13">
        <f>Info!L145</f>
        <v>0</v>
      </c>
      <c r="J94" s="13">
        <f>Info!M145</f>
        <v>0</v>
      </c>
      <c r="K94" s="13">
        <f>Info!N145</f>
        <v>0</v>
      </c>
      <c r="L94" s="13">
        <f>Info!O145</f>
        <v>0</v>
      </c>
      <c r="M94" s="13">
        <f>Info!P145</f>
        <v>0</v>
      </c>
      <c r="N94" s="13">
        <f>Info!Q145</f>
        <v>0</v>
      </c>
      <c r="O94" s="13">
        <f>Info!R145</f>
        <v>0</v>
      </c>
      <c r="P94" s="13">
        <f>Info!S145</f>
        <v>0</v>
      </c>
      <c r="Q94" s="13">
        <f>Info!T145</f>
        <v>0</v>
      </c>
      <c r="R94" s="13">
        <f>Info!U145</f>
        <v>0</v>
      </c>
      <c r="S94" s="13">
        <f>Info!V145</f>
        <v>0</v>
      </c>
      <c r="T94" s="13">
        <f>Info!W145</f>
        <v>0</v>
      </c>
      <c r="U94" s="13">
        <f>Info!X145</f>
        <v>0</v>
      </c>
      <c r="V94" s="13">
        <f>Info!Y145</f>
        <v>0</v>
      </c>
      <c r="W94" t="str">
        <f>Info!H145</f>
        <v>settings.read, settings.write</v>
      </c>
      <c r="X94" s="12"/>
    </row>
    <row r="95" spans="2:24" x14ac:dyDescent="0.2">
      <c r="B95" t="b">
        <v>0</v>
      </c>
      <c r="C95" s="14" t="str" cm="1">
        <f t="array" ref="C95">IF(B95=TRUE,NowStatic(),"")</f>
        <v/>
      </c>
      <c r="D95" s="7">
        <f>Info!I147</f>
        <v>1</v>
      </c>
      <c r="E95" t="str">
        <f>Info!A147</f>
        <v>dynatrace_process_availability</v>
      </c>
      <c r="F95" t="str">
        <f>Info!G147</f>
        <v>Settings 2.0</v>
      </c>
      <c r="G95" s="7">
        <f>Info!J147</f>
        <v>0</v>
      </c>
      <c r="H95" s="13">
        <f>Info!K147</f>
        <v>0</v>
      </c>
      <c r="I95" s="13">
        <f>Info!L147</f>
        <v>0</v>
      </c>
      <c r="J95" s="13">
        <f>Info!M147</f>
        <v>0</v>
      </c>
      <c r="K95" s="13">
        <f>Info!N147</f>
        <v>0</v>
      </c>
      <c r="L95" s="13">
        <f>Info!O147</f>
        <v>0</v>
      </c>
      <c r="M95" s="13">
        <f>Info!P147</f>
        <v>0</v>
      </c>
      <c r="N95" s="13">
        <f>Info!Q147</f>
        <v>0</v>
      </c>
      <c r="O95" s="13">
        <f>Info!R147</f>
        <v>0</v>
      </c>
      <c r="P95" s="13">
        <f>Info!S147</f>
        <v>0</v>
      </c>
      <c r="Q95" s="13">
        <f>Info!T147</f>
        <v>0</v>
      </c>
      <c r="R95" s="13">
        <f>Info!U147</f>
        <v>0</v>
      </c>
      <c r="S95" s="13">
        <f>Info!V147</f>
        <v>0</v>
      </c>
      <c r="T95" s="13">
        <f>Info!W147</f>
        <v>0</v>
      </c>
      <c r="U95" s="13">
        <f>Info!X147</f>
        <v>0</v>
      </c>
      <c r="V95" s="13">
        <f>Info!Y147</f>
        <v>0</v>
      </c>
      <c r="W95" t="str">
        <f>Info!H147</f>
        <v>settings.read, settings.write</v>
      </c>
      <c r="X95" s="12"/>
    </row>
    <row r="96" spans="2:24" x14ac:dyDescent="0.2">
      <c r="B96" t="b">
        <v>0</v>
      </c>
      <c r="C96" s="14" t="str" cm="1">
        <f t="array" ref="C96">IF(B96=TRUE,NowStatic(),"")</f>
        <v/>
      </c>
      <c r="D96" s="7">
        <f>Info!I148</f>
        <v>1</v>
      </c>
      <c r="E96" t="str">
        <f>Info!A148</f>
        <v>dynatrace_process_group_detection</v>
      </c>
      <c r="F96" t="str">
        <f>Info!G148</f>
        <v>Settings 2.0</v>
      </c>
      <c r="G96" s="7">
        <f>Info!J148</f>
        <v>0</v>
      </c>
      <c r="H96" s="13">
        <f>Info!K148</f>
        <v>0</v>
      </c>
      <c r="I96" s="13">
        <f>Info!L148</f>
        <v>0</v>
      </c>
      <c r="J96" s="13">
        <f>Info!M148</f>
        <v>0</v>
      </c>
      <c r="K96" s="13">
        <f>Info!N148</f>
        <v>0</v>
      </c>
      <c r="L96" s="13">
        <f>Info!O148</f>
        <v>0</v>
      </c>
      <c r="M96" s="13">
        <f>Info!P148</f>
        <v>0</v>
      </c>
      <c r="N96" s="13">
        <f>Info!Q148</f>
        <v>0</v>
      </c>
      <c r="O96" s="13">
        <f>Info!R148</f>
        <v>0</v>
      </c>
      <c r="P96" s="13">
        <f>Info!S148</f>
        <v>0</v>
      </c>
      <c r="Q96" s="13">
        <f>Info!T148</f>
        <v>0</v>
      </c>
      <c r="R96" s="13">
        <f>Info!U148</f>
        <v>0</v>
      </c>
      <c r="S96" s="13">
        <f>Info!V148</f>
        <v>0</v>
      </c>
      <c r="T96" s="13">
        <f>Info!W148</f>
        <v>0</v>
      </c>
      <c r="U96" s="13">
        <f>Info!X148</f>
        <v>0</v>
      </c>
      <c r="V96" s="13">
        <f>Info!Y148</f>
        <v>0</v>
      </c>
      <c r="W96" t="str">
        <f>Info!H148</f>
        <v>settings.read, settings.write</v>
      </c>
      <c r="X96" s="12"/>
    </row>
    <row r="97" spans="2:24" x14ac:dyDescent="0.2">
      <c r="B97" t="b">
        <v>0</v>
      </c>
      <c r="C97" s="14" t="str" cm="1">
        <f t="array" ref="C97">IF(B97=TRUE,NowStatic(),"")</f>
        <v/>
      </c>
      <c r="D97" s="7">
        <f>Info!I149</f>
        <v>1</v>
      </c>
      <c r="E97" t="str">
        <f>Info!A149</f>
        <v>dynatrace_process_group_detection_flags</v>
      </c>
      <c r="F97" t="str">
        <f>Info!G149</f>
        <v>Settings 2.0</v>
      </c>
      <c r="G97" s="7">
        <f>Info!J149</f>
        <v>0</v>
      </c>
      <c r="H97" s="13">
        <f>Info!K149</f>
        <v>0</v>
      </c>
      <c r="I97" s="13">
        <f>Info!L149</f>
        <v>0</v>
      </c>
      <c r="J97" s="13">
        <f>Info!M149</f>
        <v>0</v>
      </c>
      <c r="K97" s="13">
        <f>Info!N149</f>
        <v>0</v>
      </c>
      <c r="L97" s="13">
        <f>Info!O149</f>
        <v>0</v>
      </c>
      <c r="M97" s="13">
        <f>Info!P149</f>
        <v>0</v>
      </c>
      <c r="N97" s="13">
        <f>Info!Q149</f>
        <v>0</v>
      </c>
      <c r="O97" s="13">
        <f>Info!R149</f>
        <v>0</v>
      </c>
      <c r="P97" s="13">
        <f>Info!S149</f>
        <v>0</v>
      </c>
      <c r="Q97" s="13">
        <f>Info!T149</f>
        <v>0</v>
      </c>
      <c r="R97" s="13">
        <f>Info!U149</f>
        <v>0</v>
      </c>
      <c r="S97" s="13">
        <f>Info!V149</f>
        <v>0</v>
      </c>
      <c r="T97" s="13">
        <f>Info!W149</f>
        <v>0</v>
      </c>
      <c r="U97" s="13">
        <f>Info!X149</f>
        <v>0</v>
      </c>
      <c r="V97" s="13">
        <f>Info!Y149</f>
        <v>0</v>
      </c>
      <c r="W97" t="str">
        <f>Info!H149</f>
        <v>settings.read, settings.write</v>
      </c>
      <c r="X97" s="12"/>
    </row>
    <row r="98" spans="2:24" x14ac:dyDescent="0.2">
      <c r="B98" t="b">
        <v>0</v>
      </c>
      <c r="C98" s="14" t="str" cm="1">
        <f t="array" ref="C98">IF(B98=TRUE,NowStatic(),"")</f>
        <v/>
      </c>
      <c r="D98" s="7">
        <f>Info!I150</f>
        <v>1</v>
      </c>
      <c r="E98" t="str">
        <f>Info!A150</f>
        <v>dynatrace_process_group_monitoring</v>
      </c>
      <c r="F98" t="str">
        <f>Info!G150</f>
        <v>Settings 2.0</v>
      </c>
      <c r="G98" s="7">
        <f>Info!J150</f>
        <v>0</v>
      </c>
      <c r="H98" s="13">
        <f>Info!K150</f>
        <v>0</v>
      </c>
      <c r="I98" s="13">
        <f>Info!L150</f>
        <v>0</v>
      </c>
      <c r="J98" s="13">
        <f>Info!M150</f>
        <v>0</v>
      </c>
      <c r="K98" s="13">
        <f>Info!N150</f>
        <v>0</v>
      </c>
      <c r="L98" s="13">
        <f>Info!O150</f>
        <v>0</v>
      </c>
      <c r="M98" s="13">
        <f>Info!P150</f>
        <v>0</v>
      </c>
      <c r="N98" s="13">
        <f>Info!Q150</f>
        <v>0</v>
      </c>
      <c r="O98" s="13">
        <f>Info!R150</f>
        <v>0</v>
      </c>
      <c r="P98" s="13">
        <f>Info!S150</f>
        <v>0</v>
      </c>
      <c r="Q98" s="13">
        <f>Info!T150</f>
        <v>0</v>
      </c>
      <c r="R98" s="13">
        <f>Info!U150</f>
        <v>0</v>
      </c>
      <c r="S98" s="13">
        <f>Info!V150</f>
        <v>0</v>
      </c>
      <c r="T98" s="13">
        <f>Info!W150</f>
        <v>0</v>
      </c>
      <c r="U98" s="13">
        <f>Info!X150</f>
        <v>0</v>
      </c>
      <c r="V98" s="13">
        <f>Info!Y150</f>
        <v>0</v>
      </c>
      <c r="W98" t="str">
        <f>Info!H150</f>
        <v>settings.read, settings.write</v>
      </c>
      <c r="X98" s="12"/>
    </row>
    <row r="99" spans="2:24" x14ac:dyDescent="0.2">
      <c r="B99" t="b">
        <v>0</v>
      </c>
      <c r="C99" s="14" t="str" cm="1">
        <f t="array" ref="C99">IF(B99=TRUE,NowStatic(),"")</f>
        <v/>
      </c>
      <c r="D99" s="7">
        <f>Info!I151</f>
        <v>1</v>
      </c>
      <c r="E99" t="str">
        <f>Info!A151</f>
        <v>dynatrace_process_group_rum</v>
      </c>
      <c r="F99" t="str">
        <f>Info!G151</f>
        <v>Settings 2.0</v>
      </c>
      <c r="G99" s="7">
        <f>Info!J151</f>
        <v>0</v>
      </c>
      <c r="H99" s="13">
        <f>Info!K151</f>
        <v>0</v>
      </c>
      <c r="I99" s="13">
        <f>Info!L151</f>
        <v>0</v>
      </c>
      <c r="J99" s="13">
        <f>Info!M151</f>
        <v>0</v>
      </c>
      <c r="K99" s="13">
        <f>Info!N151</f>
        <v>0</v>
      </c>
      <c r="L99" s="13">
        <f>Info!O151</f>
        <v>0</v>
      </c>
      <c r="M99" s="13">
        <f>Info!P151</f>
        <v>0</v>
      </c>
      <c r="N99" s="13">
        <f>Info!Q151</f>
        <v>0</v>
      </c>
      <c r="O99" s="13">
        <f>Info!R151</f>
        <v>0</v>
      </c>
      <c r="P99" s="13">
        <f>Info!S151</f>
        <v>0</v>
      </c>
      <c r="Q99" s="13">
        <f>Info!T151</f>
        <v>0</v>
      </c>
      <c r="R99" s="13">
        <f>Info!U151</f>
        <v>0</v>
      </c>
      <c r="S99" s="13">
        <f>Info!V151</f>
        <v>0</v>
      </c>
      <c r="T99" s="13">
        <f>Info!W151</f>
        <v>0</v>
      </c>
      <c r="U99" s="13">
        <f>Info!X151</f>
        <v>0</v>
      </c>
      <c r="V99" s="13">
        <f>Info!Y151</f>
        <v>0</v>
      </c>
      <c r="W99" t="str">
        <f>Info!H151</f>
        <v>settings.read, settings.write</v>
      </c>
      <c r="X99" s="12"/>
    </row>
    <row r="100" spans="2:24" x14ac:dyDescent="0.2">
      <c r="B100" t="b">
        <v>0</v>
      </c>
      <c r="C100" s="14" t="str" cm="1">
        <f t="array" ref="C100">IF(B100=TRUE,NowStatic(),"")</f>
        <v/>
      </c>
      <c r="D100" s="7">
        <f>Info!I152</f>
        <v>1</v>
      </c>
      <c r="E100" t="str">
        <f>Info!A152</f>
        <v>dynatrace_process_group_simple_detection</v>
      </c>
      <c r="F100" t="str">
        <f>Info!G152</f>
        <v>Settings 2.0</v>
      </c>
      <c r="G100" s="7">
        <f>Info!J152</f>
        <v>0</v>
      </c>
      <c r="H100" s="13">
        <f>Info!K152</f>
        <v>0</v>
      </c>
      <c r="I100" s="13">
        <f>Info!L152</f>
        <v>0</v>
      </c>
      <c r="J100" s="13">
        <f>Info!M152</f>
        <v>0</v>
      </c>
      <c r="K100" s="13">
        <f>Info!N152</f>
        <v>0</v>
      </c>
      <c r="L100" s="13">
        <f>Info!O152</f>
        <v>0</v>
      </c>
      <c r="M100" s="13">
        <f>Info!P152</f>
        <v>0</v>
      </c>
      <c r="N100" s="13">
        <f>Info!Q152</f>
        <v>0</v>
      </c>
      <c r="O100" s="13">
        <f>Info!R152</f>
        <v>0</v>
      </c>
      <c r="P100" s="13">
        <f>Info!S152</f>
        <v>0</v>
      </c>
      <c r="Q100" s="13">
        <f>Info!T152</f>
        <v>0</v>
      </c>
      <c r="R100" s="13">
        <f>Info!U152</f>
        <v>0</v>
      </c>
      <c r="S100" s="13">
        <f>Info!V152</f>
        <v>0</v>
      </c>
      <c r="T100" s="13">
        <f>Info!W152</f>
        <v>0</v>
      </c>
      <c r="U100" s="13">
        <f>Info!X152</f>
        <v>0</v>
      </c>
      <c r="V100" s="13">
        <f>Info!Y152</f>
        <v>0</v>
      </c>
      <c r="W100" t="str">
        <f>Info!H152</f>
        <v>settings.read, settings.write</v>
      </c>
      <c r="X100" s="12"/>
    </row>
    <row r="101" spans="2:24" x14ac:dyDescent="0.2">
      <c r="B101" t="b">
        <v>0</v>
      </c>
      <c r="C101" s="14" t="str" cm="1">
        <f t="array" ref="C101">IF(B101=TRUE,NowStatic(),"")</f>
        <v/>
      </c>
      <c r="D101" s="7">
        <f>Info!I153</f>
        <v>1</v>
      </c>
      <c r="E101" t="str">
        <f>Info!A153</f>
        <v>dynatrace_process_monitoring</v>
      </c>
      <c r="F101" t="str">
        <f>Info!G153</f>
        <v>Settings 2.0</v>
      </c>
      <c r="G101" s="7">
        <f>Info!J153</f>
        <v>0</v>
      </c>
      <c r="H101" s="13">
        <f>Info!K153</f>
        <v>0</v>
      </c>
      <c r="I101" s="13">
        <f>Info!L153</f>
        <v>0</v>
      </c>
      <c r="J101" s="13">
        <f>Info!M153</f>
        <v>0</v>
      </c>
      <c r="K101" s="13">
        <f>Info!N153</f>
        <v>0</v>
      </c>
      <c r="L101" s="13">
        <f>Info!O153</f>
        <v>0</v>
      </c>
      <c r="M101" s="13">
        <f>Info!P153</f>
        <v>0</v>
      </c>
      <c r="N101" s="13">
        <f>Info!Q153</f>
        <v>0</v>
      </c>
      <c r="O101" s="13">
        <f>Info!R153</f>
        <v>0</v>
      </c>
      <c r="P101" s="13">
        <f>Info!S153</f>
        <v>0</v>
      </c>
      <c r="Q101" s="13">
        <f>Info!T153</f>
        <v>0</v>
      </c>
      <c r="R101" s="13">
        <f>Info!U153</f>
        <v>0</v>
      </c>
      <c r="S101" s="13">
        <f>Info!V153</f>
        <v>0</v>
      </c>
      <c r="T101" s="13">
        <f>Info!W153</f>
        <v>0</v>
      </c>
      <c r="U101" s="13">
        <f>Info!X153</f>
        <v>0</v>
      </c>
      <c r="V101" s="13">
        <f>Info!Y153</f>
        <v>0</v>
      </c>
      <c r="W101" t="str">
        <f>Info!H153</f>
        <v>settings.read, settings.write</v>
      </c>
      <c r="X101" s="12"/>
    </row>
    <row r="102" spans="2:24" x14ac:dyDescent="0.2">
      <c r="B102" t="b">
        <v>0</v>
      </c>
      <c r="C102" s="14" t="str" cm="1">
        <f t="array" ref="C102">IF(B102=TRUE,NowStatic(),"")</f>
        <v/>
      </c>
      <c r="D102" s="7">
        <f>Info!I154</f>
        <v>1</v>
      </c>
      <c r="E102" t="str">
        <f>Info!A154</f>
        <v>dynatrace_process_monitoring_rule</v>
      </c>
      <c r="F102" t="str">
        <f>Info!G154</f>
        <v>Settings 2.0</v>
      </c>
      <c r="G102" s="7">
        <f>Info!J154</f>
        <v>0</v>
      </c>
      <c r="H102" s="13">
        <f>Info!K154</f>
        <v>0</v>
      </c>
      <c r="I102" s="13">
        <f>Info!L154</f>
        <v>0</v>
      </c>
      <c r="J102" s="13">
        <f>Info!M154</f>
        <v>0</v>
      </c>
      <c r="K102" s="13">
        <f>Info!N154</f>
        <v>0</v>
      </c>
      <c r="L102" s="13">
        <f>Info!O154</f>
        <v>0</v>
      </c>
      <c r="M102" s="13">
        <f>Info!P154</f>
        <v>0</v>
      </c>
      <c r="N102" s="13">
        <f>Info!Q154</f>
        <v>0</v>
      </c>
      <c r="O102" s="13">
        <f>Info!R154</f>
        <v>0</v>
      </c>
      <c r="P102" s="13">
        <f>Info!S154</f>
        <v>0</v>
      </c>
      <c r="Q102" s="13">
        <f>Info!T154</f>
        <v>0</v>
      </c>
      <c r="R102" s="13">
        <f>Info!U154</f>
        <v>0</v>
      </c>
      <c r="S102" s="13">
        <f>Info!V154</f>
        <v>0</v>
      </c>
      <c r="T102" s="13">
        <f>Info!W154</f>
        <v>0</v>
      </c>
      <c r="U102" s="13">
        <f>Info!X154</f>
        <v>0</v>
      </c>
      <c r="V102" s="13">
        <f>Info!Y154</f>
        <v>0</v>
      </c>
      <c r="W102" t="str">
        <f>Info!H154</f>
        <v>settings.read, settings.write</v>
      </c>
      <c r="X102" s="12"/>
    </row>
    <row r="103" spans="2:24" x14ac:dyDescent="0.2">
      <c r="B103" t="b">
        <v>0</v>
      </c>
      <c r="C103" s="14" t="str" cm="1">
        <f t="array" ref="C103">IF(B103=TRUE,NowStatic(),"")</f>
        <v/>
      </c>
      <c r="D103" s="7">
        <f>Info!I155</f>
        <v>1</v>
      </c>
      <c r="E103" t="str">
        <f>Info!A155</f>
        <v>dynatrace_process_visibility</v>
      </c>
      <c r="F103" t="str">
        <f>Info!G155</f>
        <v>Settings 2.0</v>
      </c>
      <c r="G103" s="7">
        <f>Info!J155</f>
        <v>0</v>
      </c>
      <c r="H103" s="13">
        <f>Info!K155</f>
        <v>0</v>
      </c>
      <c r="I103" s="13">
        <f>Info!L155</f>
        <v>0</v>
      </c>
      <c r="J103" s="13">
        <f>Info!M155</f>
        <v>0</v>
      </c>
      <c r="K103" s="13">
        <f>Info!N155</f>
        <v>0</v>
      </c>
      <c r="L103" s="13">
        <f>Info!O155</f>
        <v>0</v>
      </c>
      <c r="M103" s="13">
        <f>Info!P155</f>
        <v>0</v>
      </c>
      <c r="N103" s="13">
        <f>Info!Q155</f>
        <v>0</v>
      </c>
      <c r="O103" s="13">
        <f>Info!R155</f>
        <v>0</v>
      </c>
      <c r="P103" s="13">
        <f>Info!S155</f>
        <v>0</v>
      </c>
      <c r="Q103" s="13">
        <f>Info!T155</f>
        <v>0</v>
      </c>
      <c r="R103" s="13">
        <f>Info!U155</f>
        <v>0</v>
      </c>
      <c r="S103" s="13">
        <f>Info!V155</f>
        <v>0</v>
      </c>
      <c r="T103" s="13">
        <f>Info!W155</f>
        <v>0</v>
      </c>
      <c r="U103" s="13">
        <f>Info!X155</f>
        <v>0</v>
      </c>
      <c r="V103" s="13">
        <f>Info!Y155</f>
        <v>0</v>
      </c>
      <c r="W103" t="str">
        <f>Info!H155</f>
        <v>settings.read, settings.write</v>
      </c>
      <c r="X103" s="12"/>
    </row>
    <row r="104" spans="2:24" x14ac:dyDescent="0.2">
      <c r="B104" t="b">
        <v>0</v>
      </c>
      <c r="C104" s="14" t="str" cm="1">
        <f t="array" ref="C104">IF(B104=TRUE,NowStatic(),"")</f>
        <v/>
      </c>
      <c r="D104" s="7">
        <f>Info!I156</f>
        <v>1</v>
      </c>
      <c r="E104" t="str">
        <f>Info!A156</f>
        <v>dynatrace_processgroup_naming</v>
      </c>
      <c r="F104" t="str">
        <f>Info!G156</f>
        <v>Config</v>
      </c>
      <c r="G104" s="7">
        <f>Info!J156</f>
        <v>0</v>
      </c>
      <c r="H104" s="13">
        <f>Info!K156</f>
        <v>0</v>
      </c>
      <c r="I104" s="13">
        <f>Info!L156</f>
        <v>0</v>
      </c>
      <c r="J104" s="13">
        <f>Info!M156</f>
        <v>0</v>
      </c>
      <c r="K104" s="13">
        <f>Info!N156</f>
        <v>0</v>
      </c>
      <c r="L104" s="13">
        <f>Info!O156</f>
        <v>0</v>
      </c>
      <c r="M104" s="13">
        <f>Info!P156</f>
        <v>0</v>
      </c>
      <c r="N104" s="13">
        <f>Info!Q156</f>
        <v>0</v>
      </c>
      <c r="O104" s="13">
        <f>Info!R156</f>
        <v>0</v>
      </c>
      <c r="P104" s="13">
        <f>Info!S156</f>
        <v>0</v>
      </c>
      <c r="Q104" s="13">
        <f>Info!T156</f>
        <v>0</v>
      </c>
      <c r="R104" s="13">
        <f>Info!U156</f>
        <v>0</v>
      </c>
      <c r="S104" s="13">
        <f>Info!V156</f>
        <v>0</v>
      </c>
      <c r="T104" s="13">
        <f>Info!W156</f>
        <v>0</v>
      </c>
      <c r="U104" s="13">
        <f>Info!X156</f>
        <v>0</v>
      </c>
      <c r="V104" s="13">
        <f>Info!Y156</f>
        <v>0</v>
      </c>
      <c r="W104" t="str">
        <f>Info!H156</f>
        <v>ReadConfig, WriteConfig</v>
      </c>
      <c r="X104" s="12"/>
    </row>
    <row r="105" spans="2:24" x14ac:dyDescent="0.2">
      <c r="B105" t="b">
        <v>0</v>
      </c>
      <c r="C105" s="14" t="str" cm="1">
        <f t="array" ref="C105">IF(B105=TRUE,NowStatic(),"")</f>
        <v/>
      </c>
      <c r="D105" s="7">
        <f>Info!I157</f>
        <v>1</v>
      </c>
      <c r="E105" t="str">
        <f>Info!A157</f>
        <v>dynatrace_queue_manager</v>
      </c>
      <c r="F105" t="str">
        <f>Info!G157</f>
        <v>Settings 2.0</v>
      </c>
      <c r="G105" s="7">
        <f>Info!J157</f>
        <v>0</v>
      </c>
      <c r="H105" s="13">
        <f>Info!K157</f>
        <v>0</v>
      </c>
      <c r="I105" s="13">
        <f>Info!L157</f>
        <v>0</v>
      </c>
      <c r="J105" s="13">
        <f>Info!M157</f>
        <v>0</v>
      </c>
      <c r="K105" s="13">
        <f>Info!N157</f>
        <v>0</v>
      </c>
      <c r="L105" s="13">
        <f>Info!O157</f>
        <v>0</v>
      </c>
      <c r="M105" s="13">
        <f>Info!P157</f>
        <v>0</v>
      </c>
      <c r="N105" s="13">
        <f>Info!Q157</f>
        <v>0</v>
      </c>
      <c r="O105" s="13">
        <f>Info!R157</f>
        <v>0</v>
      </c>
      <c r="P105" s="13">
        <f>Info!S157</f>
        <v>0</v>
      </c>
      <c r="Q105" s="13">
        <f>Info!T157</f>
        <v>0</v>
      </c>
      <c r="R105" s="13">
        <f>Info!U157</f>
        <v>0</v>
      </c>
      <c r="S105" s="13">
        <f>Info!V157</f>
        <v>0</v>
      </c>
      <c r="T105" s="13">
        <f>Info!W157</f>
        <v>0</v>
      </c>
      <c r="U105" s="13">
        <f>Info!X157</f>
        <v>0</v>
      </c>
      <c r="V105" s="13">
        <f>Info!Y157</f>
        <v>0</v>
      </c>
      <c r="W105" t="str">
        <f>Info!H157</f>
        <v>settings.read, settings.write</v>
      </c>
      <c r="X105" s="12"/>
    </row>
    <row r="106" spans="2:24" x14ac:dyDescent="0.2">
      <c r="B106" t="b">
        <v>0</v>
      </c>
      <c r="C106" s="14" t="str" cm="1">
        <f t="array" ref="C106">IF(B106=TRUE,NowStatic(),"")</f>
        <v/>
      </c>
      <c r="D106" s="7">
        <f>Info!I158</f>
        <v>1</v>
      </c>
      <c r="E106" t="str">
        <f>Info!A158</f>
        <v>dynatrace_queue_sharing_groups</v>
      </c>
      <c r="F106" t="str">
        <f>Info!G158</f>
        <v>Settings 2.0</v>
      </c>
      <c r="G106" s="7">
        <f>Info!J158</f>
        <v>0</v>
      </c>
      <c r="H106" s="13">
        <f>Info!K158</f>
        <v>0</v>
      </c>
      <c r="I106" s="13">
        <f>Info!L158</f>
        <v>0</v>
      </c>
      <c r="J106" s="13">
        <f>Info!M158</f>
        <v>0</v>
      </c>
      <c r="K106" s="13">
        <f>Info!N158</f>
        <v>0</v>
      </c>
      <c r="L106" s="13">
        <f>Info!O158</f>
        <v>0</v>
      </c>
      <c r="M106" s="13">
        <f>Info!P158</f>
        <v>0</v>
      </c>
      <c r="N106" s="13">
        <f>Info!Q158</f>
        <v>0</v>
      </c>
      <c r="O106" s="13">
        <f>Info!R158</f>
        <v>0</v>
      </c>
      <c r="P106" s="13">
        <f>Info!S158</f>
        <v>0</v>
      </c>
      <c r="Q106" s="13">
        <f>Info!T158</f>
        <v>0</v>
      </c>
      <c r="R106" s="13">
        <f>Info!U158</f>
        <v>0</v>
      </c>
      <c r="S106" s="13">
        <f>Info!V158</f>
        <v>0</v>
      </c>
      <c r="T106" s="13">
        <f>Info!W158</f>
        <v>0</v>
      </c>
      <c r="U106" s="13">
        <f>Info!X158</f>
        <v>0</v>
      </c>
      <c r="V106" s="13">
        <f>Info!Y158</f>
        <v>0</v>
      </c>
      <c r="W106" t="str">
        <f>Info!H158</f>
        <v>settings.read, settings.write</v>
      </c>
      <c r="X106" s="12"/>
    </row>
    <row r="107" spans="2:24" x14ac:dyDescent="0.2">
      <c r="B107" t="b">
        <v>0</v>
      </c>
      <c r="C107" s="14" t="str" cm="1">
        <f t="array" ref="C107">IF(B107=TRUE,NowStatic(),"")</f>
        <v/>
      </c>
      <c r="D107" s="7">
        <f>Info!I159</f>
        <v>1</v>
      </c>
      <c r="E107" t="str">
        <f>Info!A159</f>
        <v>dynatrace_remote_environments</v>
      </c>
      <c r="F107" t="str">
        <f>Info!G159</f>
        <v>Settings 2.0</v>
      </c>
      <c r="G107" s="7">
        <f>Info!J159</f>
        <v>0</v>
      </c>
      <c r="H107" s="13">
        <f>Info!K159</f>
        <v>0</v>
      </c>
      <c r="I107" s="13">
        <f>Info!L159</f>
        <v>0</v>
      </c>
      <c r="J107" s="13">
        <f>Info!M159</f>
        <v>0</v>
      </c>
      <c r="K107" s="13">
        <f>Info!N159</f>
        <v>0</v>
      </c>
      <c r="L107" s="13">
        <f>Info!O159</f>
        <v>0</v>
      </c>
      <c r="M107" s="13">
        <f>Info!P159</f>
        <v>0</v>
      </c>
      <c r="N107" s="13">
        <f>Info!Q159</f>
        <v>0</v>
      </c>
      <c r="O107" s="13">
        <f>Info!R159</f>
        <v>0</v>
      </c>
      <c r="P107" s="13">
        <f>Info!S159</f>
        <v>0</v>
      </c>
      <c r="Q107" s="13">
        <f>Info!T159</f>
        <v>0</v>
      </c>
      <c r="R107" s="13">
        <f>Info!U159</f>
        <v>0</v>
      </c>
      <c r="S107" s="13">
        <f>Info!V159</f>
        <v>0</v>
      </c>
      <c r="T107" s="13">
        <f>Info!W159</f>
        <v>0</v>
      </c>
      <c r="U107" s="13">
        <f>Info!X159</f>
        <v>0</v>
      </c>
      <c r="V107" s="13">
        <f>Info!Y159</f>
        <v>0</v>
      </c>
      <c r="W107" t="str">
        <f>Info!H159</f>
        <v>settings.read, settings.write</v>
      </c>
      <c r="X107" s="12"/>
    </row>
    <row r="108" spans="2:24" x14ac:dyDescent="0.2">
      <c r="B108" t="b">
        <v>0</v>
      </c>
      <c r="C108" s="14" t="str" cm="1">
        <f t="array" ref="C108">IF(B108=TRUE,NowStatic(),"")</f>
        <v/>
      </c>
      <c r="D108" s="7">
        <f>Info!I160</f>
        <v>1</v>
      </c>
      <c r="E108" t="str">
        <f>Info!A160</f>
        <v>dynatrace_request_attribute</v>
      </c>
      <c r="F108" t="str">
        <f>Info!G160</f>
        <v>Config</v>
      </c>
      <c r="G108" s="7">
        <f>Info!J160</f>
        <v>0</v>
      </c>
      <c r="H108" s="13">
        <f>Info!K160</f>
        <v>0</v>
      </c>
      <c r="I108" s="13">
        <f>Info!L160</f>
        <v>0</v>
      </c>
      <c r="J108" s="13">
        <f>Info!M160</f>
        <v>0</v>
      </c>
      <c r="K108" s="13">
        <f>Info!N160</f>
        <v>0</v>
      </c>
      <c r="L108" s="13">
        <f>Info!O160</f>
        <v>0</v>
      </c>
      <c r="M108" s="13">
        <f>Info!P160</f>
        <v>0</v>
      </c>
      <c r="N108" s="13">
        <f>Info!Q160</f>
        <v>0</v>
      </c>
      <c r="O108" s="13">
        <f>Info!R160</f>
        <v>0</v>
      </c>
      <c r="P108" s="13">
        <f>Info!S160</f>
        <v>0</v>
      </c>
      <c r="Q108" s="13">
        <f>Info!T160</f>
        <v>0</v>
      </c>
      <c r="R108" s="13">
        <f>Info!U160</f>
        <v>0</v>
      </c>
      <c r="S108" s="13">
        <f>Info!V160</f>
        <v>0</v>
      </c>
      <c r="T108" s="13">
        <f>Info!W160</f>
        <v>0</v>
      </c>
      <c r="U108" s="13">
        <f>Info!X160</f>
        <v>0</v>
      </c>
      <c r="V108" s="13">
        <f>Info!Y160</f>
        <v>0</v>
      </c>
      <c r="W108" t="str">
        <f>Info!H160</f>
        <v>ReadConfig, CaptureRequestData</v>
      </c>
      <c r="X108" s="12"/>
    </row>
    <row r="109" spans="2:24" x14ac:dyDescent="0.2">
      <c r="B109" t="b">
        <v>0</v>
      </c>
      <c r="C109" s="14" t="str" cm="1">
        <f t="array" ref="C109">IF(B109=TRUE,NowStatic(),"")</f>
        <v/>
      </c>
      <c r="D109" s="7">
        <f>Info!I163</f>
        <v>1</v>
      </c>
      <c r="E109" t="str">
        <f>Info!A163</f>
        <v>dynatrace_resource_attributes</v>
      </c>
      <c r="F109" t="str">
        <f>Info!G163</f>
        <v>Settings 2.0</v>
      </c>
      <c r="G109" s="7">
        <f>Info!J163</f>
        <v>0</v>
      </c>
      <c r="H109" s="13">
        <f>Info!K163</f>
        <v>0</v>
      </c>
      <c r="I109" s="13">
        <f>Info!L163</f>
        <v>0</v>
      </c>
      <c r="J109" s="13">
        <f>Info!M163</f>
        <v>0</v>
      </c>
      <c r="K109" s="13">
        <f>Info!N163</f>
        <v>0</v>
      </c>
      <c r="L109" s="13">
        <f>Info!O163</f>
        <v>0</v>
      </c>
      <c r="M109" s="13">
        <f>Info!P163</f>
        <v>0</v>
      </c>
      <c r="N109" s="13">
        <f>Info!Q163</f>
        <v>0</v>
      </c>
      <c r="O109" s="13">
        <f>Info!R163</f>
        <v>0</v>
      </c>
      <c r="P109" s="13">
        <f>Info!S163</f>
        <v>0</v>
      </c>
      <c r="Q109" s="13">
        <f>Info!T163</f>
        <v>0</v>
      </c>
      <c r="R109" s="13">
        <f>Info!U163</f>
        <v>0</v>
      </c>
      <c r="S109" s="13">
        <f>Info!V163</f>
        <v>0</v>
      </c>
      <c r="T109" s="13">
        <f>Info!W163</f>
        <v>0</v>
      </c>
      <c r="U109" s="13">
        <f>Info!X163</f>
        <v>0</v>
      </c>
      <c r="V109" s="13">
        <f>Info!Y163</f>
        <v>0</v>
      </c>
      <c r="W109" t="str">
        <f>Info!H163</f>
        <v>settings.read, settings.write</v>
      </c>
      <c r="X109" s="12"/>
    </row>
    <row r="110" spans="2:24" x14ac:dyDescent="0.2">
      <c r="B110" t="b">
        <v>0</v>
      </c>
      <c r="C110" s="14" t="str" cm="1">
        <f t="array" ref="C110">IF(B110=TRUE,NowStatic(),"")</f>
        <v/>
      </c>
      <c r="D110" s="7">
        <f>Info!I164</f>
        <v>1</v>
      </c>
      <c r="E110" t="str">
        <f>Info!A164</f>
        <v>dynatrace_rum_advanced_correlation</v>
      </c>
      <c r="F110" t="str">
        <f>Info!G164</f>
        <v>Settings 2.0</v>
      </c>
      <c r="G110" s="7">
        <f>Info!J164</f>
        <v>0</v>
      </c>
      <c r="H110" s="13">
        <f>Info!K164</f>
        <v>0</v>
      </c>
      <c r="I110" s="13">
        <f>Info!L164</f>
        <v>0</v>
      </c>
      <c r="J110" s="13">
        <f>Info!M164</f>
        <v>0</v>
      </c>
      <c r="K110" s="13">
        <f>Info!N164</f>
        <v>0</v>
      </c>
      <c r="L110" s="13">
        <f>Info!O164</f>
        <v>0</v>
      </c>
      <c r="M110" s="13">
        <f>Info!P164</f>
        <v>0</v>
      </c>
      <c r="N110" s="13">
        <f>Info!Q164</f>
        <v>0</v>
      </c>
      <c r="O110" s="13">
        <f>Info!R164</f>
        <v>0</v>
      </c>
      <c r="P110" s="13">
        <f>Info!S164</f>
        <v>0</v>
      </c>
      <c r="Q110" s="13">
        <f>Info!T164</f>
        <v>0</v>
      </c>
      <c r="R110" s="13">
        <f>Info!U164</f>
        <v>0</v>
      </c>
      <c r="S110" s="13">
        <f>Info!V164</f>
        <v>0</v>
      </c>
      <c r="T110" s="13">
        <f>Info!W164</f>
        <v>0</v>
      </c>
      <c r="U110" s="13">
        <f>Info!X164</f>
        <v>0</v>
      </c>
      <c r="V110" s="13">
        <f>Info!Y164</f>
        <v>0</v>
      </c>
      <c r="W110" t="str">
        <f>Info!H164</f>
        <v>settings.read, settings.write</v>
      </c>
      <c r="X110" s="12"/>
    </row>
    <row r="111" spans="2:24" x14ac:dyDescent="0.2">
      <c r="B111" t="b">
        <v>0</v>
      </c>
      <c r="C111" s="14" t="str" cm="1">
        <f t="array" ref="C111">IF(B111=TRUE,NowStatic(),"")</f>
        <v/>
      </c>
      <c r="D111" s="7">
        <f>Info!I165</f>
        <v>1</v>
      </c>
      <c r="E111" t="str">
        <f>Info!A165</f>
        <v>dynatrace_rum_host_headers</v>
      </c>
      <c r="F111" t="str">
        <f>Info!G165</f>
        <v>Settings 2.0</v>
      </c>
      <c r="G111" s="7">
        <f>Info!J165</f>
        <v>0</v>
      </c>
      <c r="H111" s="13">
        <f>Info!K165</f>
        <v>0</v>
      </c>
      <c r="I111" s="13">
        <f>Info!L165</f>
        <v>0</v>
      </c>
      <c r="J111" s="13">
        <f>Info!M165</f>
        <v>0</v>
      </c>
      <c r="K111" s="13">
        <f>Info!N165</f>
        <v>0</v>
      </c>
      <c r="L111" s="13">
        <f>Info!O165</f>
        <v>0</v>
      </c>
      <c r="M111" s="13">
        <f>Info!P165</f>
        <v>0</v>
      </c>
      <c r="N111" s="13">
        <f>Info!Q165</f>
        <v>0</v>
      </c>
      <c r="O111" s="13">
        <f>Info!R165</f>
        <v>0</v>
      </c>
      <c r="P111" s="13">
        <f>Info!S165</f>
        <v>0</v>
      </c>
      <c r="Q111" s="13">
        <f>Info!T165</f>
        <v>0</v>
      </c>
      <c r="R111" s="13">
        <f>Info!U165</f>
        <v>0</v>
      </c>
      <c r="S111" s="13">
        <f>Info!V165</f>
        <v>0</v>
      </c>
      <c r="T111" s="13">
        <f>Info!W165</f>
        <v>0</v>
      </c>
      <c r="U111" s="13">
        <f>Info!X165</f>
        <v>0</v>
      </c>
      <c r="V111" s="13">
        <f>Info!Y165</f>
        <v>0</v>
      </c>
      <c r="W111" t="str">
        <f>Info!H165</f>
        <v>settings.read, settings.write</v>
      </c>
      <c r="X111" s="12"/>
    </row>
    <row r="112" spans="2:24" x14ac:dyDescent="0.2">
      <c r="B112" t="b">
        <v>0</v>
      </c>
      <c r="C112" s="14" t="str" cm="1">
        <f t="array" ref="C112">IF(B112=TRUE,NowStatic(),"")</f>
        <v/>
      </c>
      <c r="D112" s="7">
        <f>Info!I166</f>
        <v>1</v>
      </c>
      <c r="E112" t="str">
        <f>Info!A166</f>
        <v>dynatrace_rum_ip_determination</v>
      </c>
      <c r="F112" t="str">
        <f>Info!G166</f>
        <v>Settings 2.0</v>
      </c>
      <c r="G112" s="7">
        <f>Info!J166</f>
        <v>0</v>
      </c>
      <c r="H112" s="13">
        <f>Info!K166</f>
        <v>0</v>
      </c>
      <c r="I112" s="13">
        <f>Info!L166</f>
        <v>0</v>
      </c>
      <c r="J112" s="13">
        <f>Info!M166</f>
        <v>0</v>
      </c>
      <c r="K112" s="13">
        <f>Info!N166</f>
        <v>0</v>
      </c>
      <c r="L112" s="13">
        <f>Info!O166</f>
        <v>0</v>
      </c>
      <c r="M112" s="13">
        <f>Info!P166</f>
        <v>0</v>
      </c>
      <c r="N112" s="13">
        <f>Info!Q166</f>
        <v>0</v>
      </c>
      <c r="O112" s="13">
        <f>Info!R166</f>
        <v>0</v>
      </c>
      <c r="P112" s="13">
        <f>Info!S166</f>
        <v>0</v>
      </c>
      <c r="Q112" s="13">
        <f>Info!T166</f>
        <v>0</v>
      </c>
      <c r="R112" s="13">
        <f>Info!U166</f>
        <v>0</v>
      </c>
      <c r="S112" s="13">
        <f>Info!V166</f>
        <v>0</v>
      </c>
      <c r="T112" s="13">
        <f>Info!W166</f>
        <v>0</v>
      </c>
      <c r="U112" s="13">
        <f>Info!X166</f>
        <v>0</v>
      </c>
      <c r="V112" s="13">
        <f>Info!Y166</f>
        <v>0</v>
      </c>
      <c r="W112" t="str">
        <f>Info!H166</f>
        <v>settings.read, settings.write</v>
      </c>
      <c r="X112" s="12"/>
    </row>
    <row r="113" spans="2:24" x14ac:dyDescent="0.2">
      <c r="B113" t="b">
        <v>0</v>
      </c>
      <c r="C113" s="14" t="str" cm="1">
        <f t="array" ref="C113">IF(B113=TRUE,NowStatic(),"")</f>
        <v/>
      </c>
      <c r="D113" s="7">
        <f>Info!I167</f>
        <v>1</v>
      </c>
      <c r="E113" t="str">
        <f>Info!A167</f>
        <v>dynatrace_rum_ip_locations</v>
      </c>
      <c r="F113" t="str">
        <f>Info!G167</f>
        <v>Settings 2.0</v>
      </c>
      <c r="G113" s="7">
        <f>Info!J167</f>
        <v>0</v>
      </c>
      <c r="H113" s="13">
        <f>Info!K167</f>
        <v>0</v>
      </c>
      <c r="I113" s="13">
        <f>Info!L167</f>
        <v>0</v>
      </c>
      <c r="J113" s="13">
        <f>Info!M167</f>
        <v>0</v>
      </c>
      <c r="K113" s="13">
        <f>Info!N167</f>
        <v>0</v>
      </c>
      <c r="L113" s="13">
        <f>Info!O167</f>
        <v>0</v>
      </c>
      <c r="M113" s="13">
        <f>Info!P167</f>
        <v>0</v>
      </c>
      <c r="N113" s="13">
        <f>Info!Q167</f>
        <v>0</v>
      </c>
      <c r="O113" s="13">
        <f>Info!R167</f>
        <v>0</v>
      </c>
      <c r="P113" s="13">
        <f>Info!S167</f>
        <v>0</v>
      </c>
      <c r="Q113" s="13">
        <f>Info!T167</f>
        <v>0</v>
      </c>
      <c r="R113" s="13">
        <f>Info!U167</f>
        <v>0</v>
      </c>
      <c r="S113" s="13">
        <f>Info!V167</f>
        <v>0</v>
      </c>
      <c r="T113" s="13">
        <f>Info!W167</f>
        <v>0</v>
      </c>
      <c r="U113" s="13">
        <f>Info!X167</f>
        <v>0</v>
      </c>
      <c r="V113" s="13">
        <f>Info!Y167</f>
        <v>0</v>
      </c>
      <c r="W113" t="str">
        <f>Info!H167</f>
        <v>settings.read, settings.write</v>
      </c>
      <c r="X113" s="12"/>
    </row>
    <row r="114" spans="2:24" x14ac:dyDescent="0.2">
      <c r="B114" t="b">
        <v>0</v>
      </c>
      <c r="C114" s="14" t="str" cm="1">
        <f t="array" ref="C114">IF(B114=TRUE,NowStatic(),"")</f>
        <v/>
      </c>
      <c r="D114" s="7">
        <f>Info!I168</f>
        <v>1</v>
      </c>
      <c r="E114" t="str">
        <f>Info!A168</f>
        <v>dynatrace_rum_overload_prevention</v>
      </c>
      <c r="F114" t="str">
        <f>Info!G168</f>
        <v>Settings 2.0</v>
      </c>
      <c r="G114" s="7">
        <f>Info!J168</f>
        <v>0</v>
      </c>
      <c r="H114" s="13">
        <f>Info!K168</f>
        <v>0</v>
      </c>
      <c r="I114" s="13">
        <f>Info!L168</f>
        <v>0</v>
      </c>
      <c r="J114" s="13">
        <f>Info!M168</f>
        <v>0</v>
      </c>
      <c r="K114" s="13">
        <f>Info!N168</f>
        <v>0</v>
      </c>
      <c r="L114" s="13">
        <f>Info!O168</f>
        <v>0</v>
      </c>
      <c r="M114" s="13">
        <f>Info!P168</f>
        <v>0</v>
      </c>
      <c r="N114" s="13">
        <f>Info!Q168</f>
        <v>0</v>
      </c>
      <c r="O114" s="13">
        <f>Info!R168</f>
        <v>0</v>
      </c>
      <c r="P114" s="13">
        <f>Info!S168</f>
        <v>0</v>
      </c>
      <c r="Q114" s="13">
        <f>Info!T168</f>
        <v>0</v>
      </c>
      <c r="R114" s="13">
        <f>Info!U168</f>
        <v>0</v>
      </c>
      <c r="S114" s="13">
        <f>Info!V168</f>
        <v>0</v>
      </c>
      <c r="T114" s="13">
        <f>Info!W168</f>
        <v>0</v>
      </c>
      <c r="U114" s="13">
        <f>Info!X168</f>
        <v>0</v>
      </c>
      <c r="V114" s="13">
        <f>Info!Y168</f>
        <v>0</v>
      </c>
      <c r="W114" t="str">
        <f>Info!H168</f>
        <v>settings.read, settings.write</v>
      </c>
      <c r="X114" s="12"/>
    </row>
    <row r="115" spans="2:24" x14ac:dyDescent="0.2">
      <c r="B115" t="b">
        <v>0</v>
      </c>
      <c r="C115" s="14" t="str" cm="1">
        <f t="array" ref="C115">IF(B115=TRUE,NowStatic(),"")</f>
        <v/>
      </c>
      <c r="D115" s="7">
        <f>Info!I169</f>
        <v>1</v>
      </c>
      <c r="E115" t="str">
        <f>Info!A169</f>
        <v>dynatrace_rum_provider_breakdown</v>
      </c>
      <c r="F115" t="str">
        <f>Info!G169</f>
        <v>Settings 2.0</v>
      </c>
      <c r="G115" s="7">
        <f>Info!J169</f>
        <v>0</v>
      </c>
      <c r="H115" s="13">
        <f>Info!K169</f>
        <v>0</v>
      </c>
      <c r="I115" s="13">
        <f>Info!L169</f>
        <v>0</v>
      </c>
      <c r="J115" s="13">
        <f>Info!M169</f>
        <v>0</v>
      </c>
      <c r="K115" s="13">
        <f>Info!N169</f>
        <v>0</v>
      </c>
      <c r="L115" s="13">
        <f>Info!O169</f>
        <v>0</v>
      </c>
      <c r="M115" s="13">
        <f>Info!P169</f>
        <v>0</v>
      </c>
      <c r="N115" s="13">
        <f>Info!Q169</f>
        <v>0</v>
      </c>
      <c r="O115" s="13">
        <f>Info!R169</f>
        <v>0</v>
      </c>
      <c r="P115" s="13">
        <f>Info!S169</f>
        <v>0</v>
      </c>
      <c r="Q115" s="13">
        <f>Info!T169</f>
        <v>0</v>
      </c>
      <c r="R115" s="13">
        <f>Info!U169</f>
        <v>0</v>
      </c>
      <c r="S115" s="13">
        <f>Info!V169</f>
        <v>0</v>
      </c>
      <c r="T115" s="13">
        <f>Info!W169</f>
        <v>0</v>
      </c>
      <c r="U115" s="13">
        <f>Info!X169</f>
        <v>0</v>
      </c>
      <c r="V115" s="13">
        <f>Info!Y169</f>
        <v>0</v>
      </c>
      <c r="W115" t="str">
        <f>Info!H169</f>
        <v>settings.read, settings.write</v>
      </c>
      <c r="X115" s="12"/>
    </row>
    <row r="116" spans="2:24" x14ac:dyDescent="0.2">
      <c r="B116" t="b">
        <v>0</v>
      </c>
      <c r="C116" s="14" t="str" cm="1">
        <f t="array" ref="C116">IF(B116=TRUE,NowStatic(),"")</f>
        <v/>
      </c>
      <c r="D116" s="7">
        <f>Info!I171</f>
        <v>1</v>
      </c>
      <c r="E116" t="str">
        <f>Info!A171</f>
        <v>dynatrace_service_anomalies_v2</v>
      </c>
      <c r="F116" t="str">
        <f>Info!G171</f>
        <v>Settings 2.0</v>
      </c>
      <c r="G116" s="7">
        <f>Info!J171</f>
        <v>0</v>
      </c>
      <c r="H116" s="13">
        <f>Info!K171</f>
        <v>0</v>
      </c>
      <c r="I116" s="13">
        <f>Info!L171</f>
        <v>0</v>
      </c>
      <c r="J116" s="13">
        <f>Info!M171</f>
        <v>0</v>
      </c>
      <c r="K116" s="13">
        <f>Info!N171</f>
        <v>0</v>
      </c>
      <c r="L116" s="13">
        <f>Info!O171</f>
        <v>0</v>
      </c>
      <c r="M116" s="13">
        <f>Info!P171</f>
        <v>0</v>
      </c>
      <c r="N116" s="13">
        <f>Info!Q171</f>
        <v>0</v>
      </c>
      <c r="O116" s="13">
        <f>Info!R171</f>
        <v>0</v>
      </c>
      <c r="P116" s="13">
        <f>Info!S171</f>
        <v>0</v>
      </c>
      <c r="Q116" s="13">
        <f>Info!T171</f>
        <v>0</v>
      </c>
      <c r="R116" s="13">
        <f>Info!U171</f>
        <v>0</v>
      </c>
      <c r="S116" s="13">
        <f>Info!V171</f>
        <v>0</v>
      </c>
      <c r="T116" s="13">
        <f>Info!W171</f>
        <v>0</v>
      </c>
      <c r="U116" s="13">
        <f>Info!X171</f>
        <v>0</v>
      </c>
      <c r="V116" s="13">
        <f>Info!Y171</f>
        <v>0</v>
      </c>
      <c r="W116" t="str">
        <f>Info!H171</f>
        <v>settings.read, settings.write</v>
      </c>
      <c r="X116" s="12"/>
    </row>
    <row r="117" spans="2:24" x14ac:dyDescent="0.2">
      <c r="B117" t="b">
        <v>0</v>
      </c>
      <c r="C117" s="14" t="str" cm="1">
        <f t="array" ref="C117">IF(B117=TRUE,NowStatic(),"")</f>
        <v/>
      </c>
      <c r="D117" s="7">
        <f>Info!I172</f>
        <v>1</v>
      </c>
      <c r="E117" t="str">
        <f>Info!A172</f>
        <v>dynatrace_service_external_web_request</v>
      </c>
      <c r="F117" t="str">
        <f>Info!G172</f>
        <v>Settings 2.0</v>
      </c>
      <c r="G117" s="7">
        <f>Info!J172</f>
        <v>0</v>
      </c>
      <c r="H117" s="13">
        <f>Info!K172</f>
        <v>0</v>
      </c>
      <c r="I117" s="13">
        <f>Info!L172</f>
        <v>0</v>
      </c>
      <c r="J117" s="13">
        <f>Info!M172</f>
        <v>0</v>
      </c>
      <c r="K117" s="13">
        <f>Info!N172</f>
        <v>0</v>
      </c>
      <c r="L117" s="13">
        <f>Info!O172</f>
        <v>0</v>
      </c>
      <c r="M117" s="13">
        <f>Info!P172</f>
        <v>0</v>
      </c>
      <c r="N117" s="13">
        <f>Info!Q172</f>
        <v>0</v>
      </c>
      <c r="O117" s="13">
        <f>Info!R172</f>
        <v>0</v>
      </c>
      <c r="P117" s="13">
        <f>Info!S172</f>
        <v>0</v>
      </c>
      <c r="Q117" s="13">
        <f>Info!T172</f>
        <v>0</v>
      </c>
      <c r="R117" s="13">
        <f>Info!U172</f>
        <v>0</v>
      </c>
      <c r="S117" s="13">
        <f>Info!V172</f>
        <v>0</v>
      </c>
      <c r="T117" s="13">
        <f>Info!W172</f>
        <v>0</v>
      </c>
      <c r="U117" s="13">
        <f>Info!X172</f>
        <v>0</v>
      </c>
      <c r="V117" s="13">
        <f>Info!Y172</f>
        <v>0</v>
      </c>
      <c r="W117" t="str">
        <f>Info!H172</f>
        <v>settings.read, settings.write</v>
      </c>
      <c r="X117" s="12"/>
    </row>
    <row r="118" spans="2:24" x14ac:dyDescent="0.2">
      <c r="B118" t="b">
        <v>0</v>
      </c>
      <c r="C118" s="14" t="str" cm="1">
        <f t="array" ref="C118">IF(B118=TRUE,NowStatic(),"")</f>
        <v/>
      </c>
      <c r="D118" s="7">
        <f>Info!I173</f>
        <v>1</v>
      </c>
      <c r="E118" t="str">
        <f>Info!A173</f>
        <v>dynatrace_service_external_web_service</v>
      </c>
      <c r="F118" t="str">
        <f>Info!G173</f>
        <v>Settings 2.0</v>
      </c>
      <c r="G118" s="7">
        <f>Info!J173</f>
        <v>0</v>
      </c>
      <c r="H118" s="13">
        <f>Info!K173</f>
        <v>0</v>
      </c>
      <c r="I118" s="13">
        <f>Info!L173</f>
        <v>0</v>
      </c>
      <c r="J118" s="13">
        <f>Info!M173</f>
        <v>0</v>
      </c>
      <c r="K118" s="13">
        <f>Info!N173</f>
        <v>0</v>
      </c>
      <c r="L118" s="13">
        <f>Info!O173</f>
        <v>0</v>
      </c>
      <c r="M118" s="13">
        <f>Info!P173</f>
        <v>0</v>
      </c>
      <c r="N118" s="13">
        <f>Info!Q173</f>
        <v>0</v>
      </c>
      <c r="O118" s="13">
        <f>Info!R173</f>
        <v>0</v>
      </c>
      <c r="P118" s="13">
        <f>Info!S173</f>
        <v>0</v>
      </c>
      <c r="Q118" s="13">
        <f>Info!T173</f>
        <v>0</v>
      </c>
      <c r="R118" s="13">
        <f>Info!U173</f>
        <v>0</v>
      </c>
      <c r="S118" s="13">
        <f>Info!V173</f>
        <v>0</v>
      </c>
      <c r="T118" s="13">
        <f>Info!W173</f>
        <v>0</v>
      </c>
      <c r="U118" s="13">
        <f>Info!X173</f>
        <v>0</v>
      </c>
      <c r="V118" s="13">
        <f>Info!Y173</f>
        <v>0</v>
      </c>
      <c r="W118" t="str">
        <f>Info!H173</f>
        <v>settings.read, settings.write</v>
      </c>
      <c r="X118" s="12"/>
    </row>
    <row r="119" spans="2:24" x14ac:dyDescent="0.2">
      <c r="B119" t="b">
        <v>0</v>
      </c>
      <c r="C119" s="14" t="str" cm="1">
        <f t="array" ref="C119">IF(B119=TRUE,NowStatic(),"")</f>
        <v/>
      </c>
      <c r="D119" s="7">
        <f>Info!I175</f>
        <v>1</v>
      </c>
      <c r="E119" t="str">
        <f>Info!A175</f>
        <v>dynatrace_service_full_web_request</v>
      </c>
      <c r="F119" t="str">
        <f>Info!G175</f>
        <v>Settings 2.0</v>
      </c>
      <c r="G119" s="7">
        <f>Info!J175</f>
        <v>0</v>
      </c>
      <c r="H119" s="13">
        <f>Info!K175</f>
        <v>0</v>
      </c>
      <c r="I119" s="13">
        <f>Info!L175</f>
        <v>0</v>
      </c>
      <c r="J119" s="13">
        <f>Info!M175</f>
        <v>0</v>
      </c>
      <c r="K119" s="13">
        <f>Info!N175</f>
        <v>0</v>
      </c>
      <c r="L119" s="13">
        <f>Info!O175</f>
        <v>0</v>
      </c>
      <c r="M119" s="13">
        <f>Info!P175</f>
        <v>0</v>
      </c>
      <c r="N119" s="13">
        <f>Info!Q175</f>
        <v>0</v>
      </c>
      <c r="O119" s="13">
        <f>Info!R175</f>
        <v>0</v>
      </c>
      <c r="P119" s="13">
        <f>Info!S175</f>
        <v>0</v>
      </c>
      <c r="Q119" s="13">
        <f>Info!T175</f>
        <v>0</v>
      </c>
      <c r="R119" s="13">
        <f>Info!U175</f>
        <v>0</v>
      </c>
      <c r="S119" s="13">
        <f>Info!V175</f>
        <v>0</v>
      </c>
      <c r="T119" s="13">
        <f>Info!W175</f>
        <v>0</v>
      </c>
      <c r="U119" s="13">
        <f>Info!X175</f>
        <v>0</v>
      </c>
      <c r="V119" s="13">
        <f>Info!Y175</f>
        <v>0</v>
      </c>
      <c r="W119" t="str">
        <f>Info!H175</f>
        <v>settings.read, settings.write</v>
      </c>
      <c r="X119" s="12"/>
    </row>
    <row r="120" spans="2:24" x14ac:dyDescent="0.2">
      <c r="B120" t="b">
        <v>0</v>
      </c>
      <c r="C120" s="14" t="str" cm="1">
        <f t="array" ref="C120">IF(B120=TRUE,NowStatic(),"")</f>
        <v/>
      </c>
      <c r="D120" s="7">
        <f>Info!I176</f>
        <v>1</v>
      </c>
      <c r="E120" t="str">
        <f>Info!A176</f>
        <v>dynatrace_service_full_web_service</v>
      </c>
      <c r="F120" t="str">
        <f>Info!G176</f>
        <v>Settings 2.0</v>
      </c>
      <c r="G120" s="7">
        <f>Info!J176</f>
        <v>0</v>
      </c>
      <c r="H120" s="13">
        <f>Info!K176</f>
        <v>0</v>
      </c>
      <c r="I120" s="13">
        <f>Info!L176</f>
        <v>0</v>
      </c>
      <c r="J120" s="13">
        <f>Info!M176</f>
        <v>0</v>
      </c>
      <c r="K120" s="13">
        <f>Info!N176</f>
        <v>0</v>
      </c>
      <c r="L120" s="13">
        <f>Info!O176</f>
        <v>0</v>
      </c>
      <c r="M120" s="13">
        <f>Info!P176</f>
        <v>0</v>
      </c>
      <c r="N120" s="13">
        <f>Info!Q176</f>
        <v>0</v>
      </c>
      <c r="O120" s="13">
        <f>Info!R176</f>
        <v>0</v>
      </c>
      <c r="P120" s="13">
        <f>Info!S176</f>
        <v>0</v>
      </c>
      <c r="Q120" s="13">
        <f>Info!T176</f>
        <v>0</v>
      </c>
      <c r="R120" s="13">
        <f>Info!U176</f>
        <v>0</v>
      </c>
      <c r="S120" s="13">
        <f>Info!V176</f>
        <v>0</v>
      </c>
      <c r="T120" s="13">
        <f>Info!W176</f>
        <v>0</v>
      </c>
      <c r="U120" s="13">
        <f>Info!X176</f>
        <v>0</v>
      </c>
      <c r="V120" s="13">
        <f>Info!Y176</f>
        <v>0</v>
      </c>
      <c r="W120" t="str">
        <f>Info!H176</f>
        <v>settings.read, settings.write</v>
      </c>
      <c r="X120" s="12"/>
    </row>
    <row r="121" spans="2:24" x14ac:dyDescent="0.2">
      <c r="B121" t="b">
        <v>0</v>
      </c>
      <c r="C121" s="14" t="str" cm="1">
        <f t="array" ref="C121">IF(B121=TRUE,NowStatic(),"")</f>
        <v/>
      </c>
      <c r="D121" s="7">
        <f>Info!I177</f>
        <v>1</v>
      </c>
      <c r="E121" t="str">
        <f>Info!A177</f>
        <v>dynatrace_service_http_failure</v>
      </c>
      <c r="F121" t="str">
        <f>Info!G177</f>
        <v>Settings 2.0</v>
      </c>
      <c r="G121" s="7">
        <f>Info!J177</f>
        <v>0</v>
      </c>
      <c r="H121" s="13">
        <f>Info!K177</f>
        <v>0</v>
      </c>
      <c r="I121" s="13">
        <f>Info!L177</f>
        <v>0</v>
      </c>
      <c r="J121" s="13">
        <f>Info!M177</f>
        <v>0</v>
      </c>
      <c r="K121" s="13">
        <f>Info!N177</f>
        <v>0</v>
      </c>
      <c r="L121" s="13">
        <f>Info!O177</f>
        <v>0</v>
      </c>
      <c r="M121" s="13">
        <f>Info!P177</f>
        <v>0</v>
      </c>
      <c r="N121" s="13">
        <f>Info!Q177</f>
        <v>0</v>
      </c>
      <c r="O121" s="13">
        <f>Info!R177</f>
        <v>0</v>
      </c>
      <c r="P121" s="13">
        <f>Info!S177</f>
        <v>0</v>
      </c>
      <c r="Q121" s="13">
        <f>Info!T177</f>
        <v>0</v>
      </c>
      <c r="R121" s="13">
        <f>Info!U177</f>
        <v>0</v>
      </c>
      <c r="S121" s="13">
        <f>Info!V177</f>
        <v>0</v>
      </c>
      <c r="T121" s="13">
        <f>Info!W177</f>
        <v>0</v>
      </c>
      <c r="U121" s="13">
        <f>Info!X177</f>
        <v>0</v>
      </c>
      <c r="V121" s="13">
        <f>Info!Y177</f>
        <v>0</v>
      </c>
      <c r="W121" t="str">
        <f>Info!H177</f>
        <v>settings.read, settings.write</v>
      </c>
      <c r="X121" s="12"/>
    </row>
    <row r="122" spans="2:24" x14ac:dyDescent="0.2">
      <c r="B122" t="b">
        <v>0</v>
      </c>
      <c r="C122" s="14" t="str" cm="1">
        <f t="array" ref="C122">IF(B122=TRUE,NowStatic(),"")</f>
        <v/>
      </c>
      <c r="D122" s="7">
        <f>Info!I178</f>
        <v>1</v>
      </c>
      <c r="E122" t="str">
        <f>Info!A178</f>
        <v>dynatrace_service_naming</v>
      </c>
      <c r="F122" t="str">
        <f>Info!G178</f>
        <v>Config</v>
      </c>
      <c r="G122" s="7">
        <f>Info!J178</f>
        <v>0</v>
      </c>
      <c r="H122" s="13">
        <f>Info!K178</f>
        <v>0</v>
      </c>
      <c r="I122" s="13">
        <f>Info!L178</f>
        <v>0</v>
      </c>
      <c r="J122" s="13">
        <f>Info!M178</f>
        <v>0</v>
      </c>
      <c r="K122" s="13">
        <f>Info!N178</f>
        <v>0</v>
      </c>
      <c r="L122" s="13">
        <f>Info!O178</f>
        <v>0</v>
      </c>
      <c r="M122" s="13">
        <f>Info!P178</f>
        <v>0</v>
      </c>
      <c r="N122" s="13">
        <f>Info!Q178</f>
        <v>0</v>
      </c>
      <c r="O122" s="13">
        <f>Info!R178</f>
        <v>0</v>
      </c>
      <c r="P122" s="13">
        <f>Info!S178</f>
        <v>0</v>
      </c>
      <c r="Q122" s="13">
        <f>Info!T178</f>
        <v>0</v>
      </c>
      <c r="R122" s="13">
        <f>Info!U178</f>
        <v>0</v>
      </c>
      <c r="S122" s="13">
        <f>Info!V178</f>
        <v>0</v>
      </c>
      <c r="T122" s="13">
        <f>Info!W178</f>
        <v>0</v>
      </c>
      <c r="U122" s="13">
        <f>Info!X178</f>
        <v>0</v>
      </c>
      <c r="V122" s="13">
        <f>Info!Y178</f>
        <v>0</v>
      </c>
      <c r="W122" t="str">
        <f>Info!H178</f>
        <v>ReadConfig, WriteConfig</v>
      </c>
      <c r="X122" s="12"/>
    </row>
    <row r="123" spans="2:24" x14ac:dyDescent="0.2">
      <c r="B123" t="b">
        <v>0</v>
      </c>
      <c r="C123" s="14" t="str" cm="1">
        <f t="array" ref="C123">IF(B123=TRUE,NowStatic(),"")</f>
        <v/>
      </c>
      <c r="D123" s="7">
        <f>Info!I184</f>
        <v>1</v>
      </c>
      <c r="E123" t="str">
        <f>Info!A184</f>
        <v>dynatrace_slo_normalization</v>
      </c>
      <c r="F123" t="str">
        <f>Info!G184</f>
        <v>Settings 2.0</v>
      </c>
      <c r="G123" s="7">
        <f>Info!J184</f>
        <v>0</v>
      </c>
      <c r="H123" s="13">
        <f>Info!K184</f>
        <v>0</v>
      </c>
      <c r="I123" s="13">
        <f>Info!L184</f>
        <v>0</v>
      </c>
      <c r="J123" s="13">
        <f>Info!M184</f>
        <v>0</v>
      </c>
      <c r="K123" s="13">
        <f>Info!N184</f>
        <v>0</v>
      </c>
      <c r="L123" s="13">
        <f>Info!O184</f>
        <v>0</v>
      </c>
      <c r="M123" s="13">
        <f>Info!P184</f>
        <v>0</v>
      </c>
      <c r="N123" s="13">
        <f>Info!Q184</f>
        <v>0</v>
      </c>
      <c r="O123" s="13">
        <f>Info!R184</f>
        <v>0</v>
      </c>
      <c r="P123" s="13">
        <f>Info!S184</f>
        <v>0</v>
      </c>
      <c r="Q123" s="13">
        <f>Info!T184</f>
        <v>0</v>
      </c>
      <c r="R123" s="13">
        <f>Info!U184</f>
        <v>0</v>
      </c>
      <c r="S123" s="13">
        <f>Info!V184</f>
        <v>0</v>
      </c>
      <c r="T123" s="13">
        <f>Info!W184</f>
        <v>0</v>
      </c>
      <c r="U123" s="13">
        <f>Info!X184</f>
        <v>0</v>
      </c>
      <c r="V123" s="13">
        <f>Info!Y184</f>
        <v>0</v>
      </c>
      <c r="W123" t="str">
        <f>Info!H184</f>
        <v>settings.read, settings.write</v>
      </c>
      <c r="X123" s="12"/>
    </row>
    <row r="124" spans="2:24" x14ac:dyDescent="0.2">
      <c r="B124" t="b">
        <v>0</v>
      </c>
      <c r="C124" s="14" t="str" cm="1">
        <f t="array" ref="C124">IF(B124=TRUE,NowStatic(),"")</f>
        <v/>
      </c>
      <c r="D124" s="7">
        <f>Info!I186</f>
        <v>1</v>
      </c>
      <c r="E124" t="str">
        <f>Info!A186</f>
        <v>dynatrace_span_attribute</v>
      </c>
      <c r="F124" t="str">
        <f>Info!G186</f>
        <v>Settings 2.0</v>
      </c>
      <c r="G124" s="7">
        <f>Info!J186</f>
        <v>0</v>
      </c>
      <c r="H124" s="13">
        <f>Info!K186</f>
        <v>0</v>
      </c>
      <c r="I124" s="13">
        <f>Info!L186</f>
        <v>0</v>
      </c>
      <c r="J124" s="13">
        <f>Info!M186</f>
        <v>0</v>
      </c>
      <c r="K124" s="13">
        <f>Info!N186</f>
        <v>0</v>
      </c>
      <c r="L124" s="13">
        <f>Info!O186</f>
        <v>0</v>
      </c>
      <c r="M124" s="13">
        <f>Info!P186</f>
        <v>0</v>
      </c>
      <c r="N124" s="13">
        <f>Info!Q186</f>
        <v>0</v>
      </c>
      <c r="O124" s="13">
        <f>Info!R186</f>
        <v>0</v>
      </c>
      <c r="P124" s="13">
        <f>Info!S186</f>
        <v>0</v>
      </c>
      <c r="Q124" s="13">
        <f>Info!T186</f>
        <v>0</v>
      </c>
      <c r="R124" s="13">
        <f>Info!U186</f>
        <v>0</v>
      </c>
      <c r="S124" s="13">
        <f>Info!V186</f>
        <v>0</v>
      </c>
      <c r="T124" s="13">
        <f>Info!W186</f>
        <v>0</v>
      </c>
      <c r="U124" s="13">
        <f>Info!X186</f>
        <v>0</v>
      </c>
      <c r="V124" s="13">
        <f>Info!Y186</f>
        <v>0</v>
      </c>
      <c r="W124" t="str">
        <f>Info!H186</f>
        <v>settings.read, settings.write</v>
      </c>
      <c r="X124" s="12"/>
    </row>
    <row r="125" spans="2:24" x14ac:dyDescent="0.2">
      <c r="B125" t="b">
        <v>0</v>
      </c>
      <c r="C125" s="14" t="str" cm="1">
        <f t="array" ref="C125">IF(B125=TRUE,NowStatic(),"")</f>
        <v/>
      </c>
      <c r="D125" s="7">
        <f>Info!I187</f>
        <v>1</v>
      </c>
      <c r="E125" t="str">
        <f>Info!A187</f>
        <v>dynatrace_span_capture_rule</v>
      </c>
      <c r="F125" t="str">
        <f>Info!G187</f>
        <v>Settings 2.0</v>
      </c>
      <c r="G125" s="7">
        <f>Info!J187</f>
        <v>0</v>
      </c>
      <c r="H125" s="13">
        <f>Info!K187</f>
        <v>0</v>
      </c>
      <c r="I125" s="13">
        <f>Info!L187</f>
        <v>0</v>
      </c>
      <c r="J125" s="13">
        <f>Info!M187</f>
        <v>0</v>
      </c>
      <c r="K125" s="13">
        <f>Info!N187</f>
        <v>0</v>
      </c>
      <c r="L125" s="13">
        <f>Info!O187</f>
        <v>0</v>
      </c>
      <c r="M125" s="13">
        <f>Info!P187</f>
        <v>0</v>
      </c>
      <c r="N125" s="13">
        <f>Info!Q187</f>
        <v>0</v>
      </c>
      <c r="O125" s="13">
        <f>Info!R187</f>
        <v>0</v>
      </c>
      <c r="P125" s="13">
        <f>Info!S187</f>
        <v>0</v>
      </c>
      <c r="Q125" s="13">
        <f>Info!T187</f>
        <v>0</v>
      </c>
      <c r="R125" s="13">
        <f>Info!U187</f>
        <v>0</v>
      </c>
      <c r="S125" s="13">
        <f>Info!V187</f>
        <v>0</v>
      </c>
      <c r="T125" s="13">
        <f>Info!W187</f>
        <v>0</v>
      </c>
      <c r="U125" s="13">
        <f>Info!X187</f>
        <v>0</v>
      </c>
      <c r="V125" s="13">
        <f>Info!Y187</f>
        <v>0</v>
      </c>
      <c r="W125" t="str">
        <f>Info!H187</f>
        <v>settings.read, settings.write</v>
      </c>
      <c r="X125" s="12"/>
    </row>
    <row r="126" spans="2:24" x14ac:dyDescent="0.2">
      <c r="B126" t="b">
        <v>0</v>
      </c>
      <c r="C126" s="14" t="str" cm="1">
        <f t="array" ref="C126">IF(B126=TRUE,NowStatic(),"")</f>
        <v/>
      </c>
      <c r="D126" s="7">
        <f>Info!I188</f>
        <v>1</v>
      </c>
      <c r="E126" t="str">
        <f>Info!A188</f>
        <v>dynatrace_span_context_propagation</v>
      </c>
      <c r="F126" t="str">
        <f>Info!G188</f>
        <v>Settings 2.0</v>
      </c>
      <c r="G126" s="7">
        <f>Info!J188</f>
        <v>0</v>
      </c>
      <c r="H126" s="13">
        <f>Info!K188</f>
        <v>0</v>
      </c>
      <c r="I126" s="13">
        <f>Info!L188</f>
        <v>0</v>
      </c>
      <c r="J126" s="13">
        <f>Info!M188</f>
        <v>0</v>
      </c>
      <c r="K126" s="13">
        <f>Info!N188</f>
        <v>0</v>
      </c>
      <c r="L126" s="13">
        <f>Info!O188</f>
        <v>0</v>
      </c>
      <c r="M126" s="13">
        <f>Info!P188</f>
        <v>0</v>
      </c>
      <c r="N126" s="13">
        <f>Info!Q188</f>
        <v>0</v>
      </c>
      <c r="O126" s="13">
        <f>Info!R188</f>
        <v>0</v>
      </c>
      <c r="P126" s="13">
        <f>Info!S188</f>
        <v>0</v>
      </c>
      <c r="Q126" s="13">
        <f>Info!T188</f>
        <v>0</v>
      </c>
      <c r="R126" s="13">
        <f>Info!U188</f>
        <v>0</v>
      </c>
      <c r="S126" s="13">
        <f>Info!V188</f>
        <v>0</v>
      </c>
      <c r="T126" s="13">
        <f>Info!W188</f>
        <v>0</v>
      </c>
      <c r="U126" s="13">
        <f>Info!X188</f>
        <v>0</v>
      </c>
      <c r="V126" s="13">
        <f>Info!Y188</f>
        <v>0</v>
      </c>
      <c r="W126" t="str">
        <f>Info!H188</f>
        <v>settings.read, settings.write</v>
      </c>
      <c r="X126" s="12"/>
    </row>
    <row r="127" spans="2:24" x14ac:dyDescent="0.2">
      <c r="B127" t="b">
        <v>0</v>
      </c>
      <c r="C127" s="14" t="str" cm="1">
        <f t="array" ref="C127">IF(B127=TRUE,NowStatic(),"")</f>
        <v/>
      </c>
      <c r="D127" s="7">
        <f>Info!I189</f>
        <v>1</v>
      </c>
      <c r="E127" t="str">
        <f>Info!A189</f>
        <v>dynatrace_span_entry_point</v>
      </c>
      <c r="F127" t="str">
        <f>Info!G189</f>
        <v>Settings 2.0</v>
      </c>
      <c r="G127" s="7">
        <f>Info!J189</f>
        <v>0</v>
      </c>
      <c r="H127" s="13">
        <f>Info!K189</f>
        <v>0</v>
      </c>
      <c r="I127" s="13">
        <f>Info!L189</f>
        <v>0</v>
      </c>
      <c r="J127" s="13">
        <f>Info!M189</f>
        <v>0</v>
      </c>
      <c r="K127" s="13">
        <f>Info!N189</f>
        <v>0</v>
      </c>
      <c r="L127" s="13">
        <f>Info!O189</f>
        <v>0</v>
      </c>
      <c r="M127" s="13">
        <f>Info!P189</f>
        <v>0</v>
      </c>
      <c r="N127" s="13">
        <f>Info!Q189</f>
        <v>0</v>
      </c>
      <c r="O127" s="13">
        <f>Info!R189</f>
        <v>0</v>
      </c>
      <c r="P127" s="13">
        <f>Info!S189</f>
        <v>0</v>
      </c>
      <c r="Q127" s="13">
        <f>Info!T189</f>
        <v>0</v>
      </c>
      <c r="R127" s="13">
        <f>Info!U189</f>
        <v>0</v>
      </c>
      <c r="S127" s="13">
        <f>Info!V189</f>
        <v>0</v>
      </c>
      <c r="T127" s="13">
        <f>Info!W189</f>
        <v>0</v>
      </c>
      <c r="U127" s="13">
        <f>Info!X189</f>
        <v>0</v>
      </c>
      <c r="V127" s="13">
        <f>Info!Y189</f>
        <v>0</v>
      </c>
      <c r="W127" t="str">
        <f>Info!H189</f>
        <v>settings.read, settings.write</v>
      </c>
      <c r="X127" s="12"/>
    </row>
    <row r="128" spans="2:24" x14ac:dyDescent="0.2">
      <c r="B128" t="b">
        <v>0</v>
      </c>
      <c r="C128" s="14" t="str" cm="1">
        <f t="array" ref="C128">IF(B128=TRUE,NowStatic(),"")</f>
        <v/>
      </c>
      <c r="D128" s="7">
        <f>Info!I190</f>
        <v>1</v>
      </c>
      <c r="E128" t="str">
        <f>Info!A190</f>
        <v>dynatrace_synthetic_availability</v>
      </c>
      <c r="F128" t="str">
        <f>Info!G190</f>
        <v>Settings 2.0</v>
      </c>
      <c r="G128" s="7">
        <f>Info!J190</f>
        <v>0</v>
      </c>
      <c r="H128" s="13">
        <f>Info!K190</f>
        <v>0</v>
      </c>
      <c r="I128" s="13">
        <f>Info!L190</f>
        <v>0</v>
      </c>
      <c r="J128" s="13">
        <f>Info!M190</f>
        <v>0</v>
      </c>
      <c r="K128" s="13">
        <f>Info!N190</f>
        <v>0</v>
      </c>
      <c r="L128" s="13">
        <f>Info!O190</f>
        <v>0</v>
      </c>
      <c r="M128" s="13">
        <f>Info!P190</f>
        <v>0</v>
      </c>
      <c r="N128" s="13">
        <f>Info!Q190</f>
        <v>0</v>
      </c>
      <c r="O128" s="13">
        <f>Info!R190</f>
        <v>0</v>
      </c>
      <c r="P128" s="13">
        <f>Info!S190</f>
        <v>0</v>
      </c>
      <c r="Q128" s="13">
        <f>Info!T190</f>
        <v>0</v>
      </c>
      <c r="R128" s="13">
        <f>Info!U190</f>
        <v>0</v>
      </c>
      <c r="S128" s="13">
        <f>Info!V190</f>
        <v>0</v>
      </c>
      <c r="T128" s="13">
        <f>Info!W190</f>
        <v>0</v>
      </c>
      <c r="U128" s="13">
        <f>Info!X190</f>
        <v>0</v>
      </c>
      <c r="V128" s="13">
        <f>Info!Y190</f>
        <v>0</v>
      </c>
      <c r="W128" t="str">
        <f>Info!H190</f>
        <v>settings.read, settings.write</v>
      </c>
      <c r="X128" s="12"/>
    </row>
    <row r="129" spans="2:24" x14ac:dyDescent="0.2">
      <c r="B129" t="b">
        <v>0</v>
      </c>
      <c r="C129" s="14" t="str" cm="1">
        <f t="array" ref="C129">IF(B129=TRUE,NowStatic(),"")</f>
        <v/>
      </c>
      <c r="D129" s="7">
        <f>Info!I191</f>
        <v>1</v>
      </c>
      <c r="E129" t="str">
        <f>Info!A191</f>
        <v>dynatrace_synthetic_location</v>
      </c>
      <c r="F129" t="str">
        <f>Info!G191</f>
        <v>Environment v1</v>
      </c>
      <c r="G129" s="7">
        <f>Info!J191</f>
        <v>0</v>
      </c>
      <c r="H129" s="13">
        <f>Info!K191</f>
        <v>0</v>
      </c>
      <c r="I129" s="13">
        <f>Info!L191</f>
        <v>0</v>
      </c>
      <c r="J129" s="13">
        <f>Info!M191</f>
        <v>0</v>
      </c>
      <c r="K129" s="13">
        <f>Info!N191</f>
        <v>0</v>
      </c>
      <c r="L129" s="13">
        <f>Info!O191</f>
        <v>0</v>
      </c>
      <c r="M129" s="13">
        <f>Info!P191</f>
        <v>0</v>
      </c>
      <c r="N129" s="13">
        <f>Info!Q191</f>
        <v>0</v>
      </c>
      <c r="O129" s="13">
        <f>Info!R191</f>
        <v>0</v>
      </c>
      <c r="P129" s="13">
        <f>Info!S191</f>
        <v>0</v>
      </c>
      <c r="Q129" s="13">
        <f>Info!T191</f>
        <v>0</v>
      </c>
      <c r="R129" s="13">
        <f>Info!U191</f>
        <v>0</v>
      </c>
      <c r="S129" s="13">
        <f>Info!V191</f>
        <v>0</v>
      </c>
      <c r="T129" s="13">
        <f>Info!W191</f>
        <v>0</v>
      </c>
      <c r="U129" s="13">
        <f>Info!X191</f>
        <v>0</v>
      </c>
      <c r="V129" s="13">
        <f>Info!Y191</f>
        <v>0</v>
      </c>
      <c r="W129" t="str">
        <f>Info!H191</f>
        <v>ExternalSyntheticIntegration</v>
      </c>
      <c r="X129" s="12"/>
    </row>
    <row r="130" spans="2:24" x14ac:dyDescent="0.2">
      <c r="B130" t="b">
        <v>0</v>
      </c>
      <c r="C130" s="14" t="str" cm="1">
        <f t="array" ref="C130">IF(B130=TRUE,NowStatic(),"")</f>
        <v/>
      </c>
      <c r="D130" s="7">
        <f>Info!I192</f>
        <v>1</v>
      </c>
      <c r="E130" t="str">
        <f>Info!A192</f>
        <v>dynatrace_token_settings</v>
      </c>
      <c r="F130" t="str">
        <f>Info!G192</f>
        <v>Settings 2.0</v>
      </c>
      <c r="G130" s="7">
        <f>Info!J192</f>
        <v>0</v>
      </c>
      <c r="H130" s="13">
        <f>Info!K192</f>
        <v>0</v>
      </c>
      <c r="I130" s="13">
        <f>Info!L192</f>
        <v>0</v>
      </c>
      <c r="J130" s="13">
        <f>Info!M192</f>
        <v>0</v>
      </c>
      <c r="K130" s="13">
        <f>Info!N192</f>
        <v>0</v>
      </c>
      <c r="L130" s="13">
        <f>Info!O192</f>
        <v>0</v>
      </c>
      <c r="M130" s="13">
        <f>Info!P192</f>
        <v>0</v>
      </c>
      <c r="N130" s="13">
        <f>Info!Q192</f>
        <v>0</v>
      </c>
      <c r="O130" s="13">
        <f>Info!R192</f>
        <v>0</v>
      </c>
      <c r="P130" s="13">
        <f>Info!S192</f>
        <v>0</v>
      </c>
      <c r="Q130" s="13">
        <f>Info!T192</f>
        <v>0</v>
      </c>
      <c r="R130" s="13">
        <f>Info!U192</f>
        <v>0</v>
      </c>
      <c r="S130" s="13">
        <f>Info!V192</f>
        <v>0</v>
      </c>
      <c r="T130" s="13">
        <f>Info!W192</f>
        <v>0</v>
      </c>
      <c r="U130" s="13">
        <f>Info!X192</f>
        <v>0</v>
      </c>
      <c r="V130" s="13">
        <f>Info!Y192</f>
        <v>0</v>
      </c>
      <c r="W130" t="str">
        <f>Info!H192</f>
        <v>settings.read, settings.write</v>
      </c>
      <c r="X130" s="12"/>
    </row>
    <row r="131" spans="2:24" x14ac:dyDescent="0.2">
      <c r="B131" t="b">
        <v>0</v>
      </c>
      <c r="C131" s="14" t="str" cm="1">
        <f t="array" ref="C131">IF(B131=TRUE,NowStatic(),"")</f>
        <v/>
      </c>
      <c r="D131" s="7">
        <f>Info!I193</f>
        <v>1</v>
      </c>
      <c r="E131" t="str">
        <f>Info!A193</f>
        <v>dynatrace_transaction_start_filters</v>
      </c>
      <c r="F131" t="str">
        <f>Info!G193</f>
        <v>Settings 2.0</v>
      </c>
      <c r="G131" s="7">
        <f>Info!J193</f>
        <v>0</v>
      </c>
      <c r="H131" s="13">
        <f>Info!K193</f>
        <v>0</v>
      </c>
      <c r="I131" s="13">
        <f>Info!L193</f>
        <v>0</v>
      </c>
      <c r="J131" s="13">
        <f>Info!M193</f>
        <v>0</v>
      </c>
      <c r="K131" s="13">
        <f>Info!N193</f>
        <v>0</v>
      </c>
      <c r="L131" s="13">
        <f>Info!O193</f>
        <v>0</v>
      </c>
      <c r="M131" s="13">
        <f>Info!P193</f>
        <v>0</v>
      </c>
      <c r="N131" s="13">
        <f>Info!Q193</f>
        <v>0</v>
      </c>
      <c r="O131" s="13">
        <f>Info!R193</f>
        <v>0</v>
      </c>
      <c r="P131" s="13">
        <f>Info!S193</f>
        <v>0</v>
      </c>
      <c r="Q131" s="13">
        <f>Info!T193</f>
        <v>0</v>
      </c>
      <c r="R131" s="13">
        <f>Info!U193</f>
        <v>0</v>
      </c>
      <c r="S131" s="13">
        <f>Info!V193</f>
        <v>0</v>
      </c>
      <c r="T131" s="13">
        <f>Info!W193</f>
        <v>0</v>
      </c>
      <c r="U131" s="13">
        <f>Info!X193</f>
        <v>0</v>
      </c>
      <c r="V131" s="13">
        <f>Info!Y193</f>
        <v>0</v>
      </c>
      <c r="W131" t="str">
        <f>Info!H193</f>
        <v>settings.read, settings.write</v>
      </c>
      <c r="X131" s="12"/>
    </row>
    <row r="132" spans="2:24" x14ac:dyDescent="0.2">
      <c r="B132" t="b">
        <v>0</v>
      </c>
      <c r="C132" s="14" t="str" cm="1">
        <f t="array" ref="C132">IF(B132=TRUE,NowStatic(),"")</f>
        <v/>
      </c>
      <c r="D132" s="7">
        <f>Info!I195</f>
        <v>1</v>
      </c>
      <c r="E132" t="str">
        <f>Info!A195</f>
        <v>dynatrace_update_windows</v>
      </c>
      <c r="F132" t="str">
        <f>Info!G195</f>
        <v>Settings 2.0</v>
      </c>
      <c r="G132" s="7">
        <f>Info!J195</f>
        <v>0</v>
      </c>
      <c r="H132" s="13">
        <f>Info!K195</f>
        <v>0</v>
      </c>
      <c r="I132" s="13">
        <f>Info!L195</f>
        <v>0</v>
      </c>
      <c r="J132" s="13">
        <f>Info!M195</f>
        <v>0</v>
      </c>
      <c r="K132" s="13">
        <f>Info!N195</f>
        <v>0</v>
      </c>
      <c r="L132" s="13">
        <f>Info!O195</f>
        <v>0</v>
      </c>
      <c r="M132" s="13">
        <f>Info!P195</f>
        <v>0</v>
      </c>
      <c r="N132" s="13">
        <f>Info!Q195</f>
        <v>0</v>
      </c>
      <c r="O132" s="13">
        <f>Info!R195</f>
        <v>0</v>
      </c>
      <c r="P132" s="13">
        <f>Info!S195</f>
        <v>0</v>
      </c>
      <c r="Q132" s="13">
        <f>Info!T195</f>
        <v>0</v>
      </c>
      <c r="R132" s="13">
        <f>Info!U195</f>
        <v>0</v>
      </c>
      <c r="S132" s="13">
        <f>Info!V195</f>
        <v>0</v>
      </c>
      <c r="T132" s="13">
        <f>Info!W195</f>
        <v>0</v>
      </c>
      <c r="U132" s="13">
        <f>Info!X195</f>
        <v>0</v>
      </c>
      <c r="V132" s="13">
        <f>Info!Y195</f>
        <v>0</v>
      </c>
      <c r="W132" t="str">
        <f>Info!H195</f>
        <v>settings.read, settings.write</v>
      </c>
      <c r="X132" s="12"/>
    </row>
    <row r="133" spans="2:24" x14ac:dyDescent="0.2">
      <c r="B133" t="b">
        <v>0</v>
      </c>
      <c r="C133" s="14" t="str" cm="1">
        <f t="array" ref="C133">IF(B133=TRUE,NowStatic(),"")</f>
        <v/>
      </c>
      <c r="D133" s="7">
        <f>Info!I197</f>
        <v>1</v>
      </c>
      <c r="E133" t="str">
        <f>Info!A197</f>
        <v>dynatrace_user_action_metrics</v>
      </c>
      <c r="F133" t="str">
        <f>Info!G197</f>
        <v>Settings 2.0</v>
      </c>
      <c r="G133" s="7">
        <f>Info!J197</f>
        <v>0</v>
      </c>
      <c r="H133" s="13">
        <f>Info!K197</f>
        <v>0</v>
      </c>
      <c r="I133" s="13">
        <f>Info!L197</f>
        <v>0</v>
      </c>
      <c r="J133" s="13">
        <f>Info!M197</f>
        <v>0</v>
      </c>
      <c r="K133" s="13">
        <f>Info!N197</f>
        <v>0</v>
      </c>
      <c r="L133" s="13">
        <f>Info!O197</f>
        <v>0</v>
      </c>
      <c r="M133" s="13">
        <f>Info!P197</f>
        <v>0</v>
      </c>
      <c r="N133" s="13">
        <f>Info!Q197</f>
        <v>0</v>
      </c>
      <c r="O133" s="13">
        <f>Info!R197</f>
        <v>0</v>
      </c>
      <c r="P133" s="13">
        <f>Info!S197</f>
        <v>0</v>
      </c>
      <c r="Q133" s="13">
        <f>Info!T197</f>
        <v>0</v>
      </c>
      <c r="R133" s="13">
        <f>Info!U197</f>
        <v>0</v>
      </c>
      <c r="S133" s="13">
        <f>Info!V197</f>
        <v>0</v>
      </c>
      <c r="T133" s="13">
        <f>Info!W197</f>
        <v>0</v>
      </c>
      <c r="U133" s="13">
        <f>Info!X197</f>
        <v>0</v>
      </c>
      <c r="V133" s="13">
        <f>Info!Y197</f>
        <v>0</v>
      </c>
      <c r="W133" t="str">
        <f>Info!H197</f>
        <v>settings.read, settings.write</v>
      </c>
      <c r="X133" s="12"/>
    </row>
    <row r="134" spans="2:24" x14ac:dyDescent="0.2">
      <c r="B134" t="b">
        <v>0</v>
      </c>
      <c r="C134" s="14" t="str" cm="1">
        <f t="array" ref="C134">IF(B134=TRUE,NowStatic(),"")</f>
        <v/>
      </c>
      <c r="D134" s="7">
        <f>Info!I198</f>
        <v>1</v>
      </c>
      <c r="E134" t="str">
        <f>Info!A198</f>
        <v>dynatrace_user_experience_score</v>
      </c>
      <c r="F134" t="str">
        <f>Info!G198</f>
        <v>Settings 2.0</v>
      </c>
      <c r="G134" s="7">
        <f>Info!J198</f>
        <v>0</v>
      </c>
      <c r="H134" s="13">
        <f>Info!K198</f>
        <v>0</v>
      </c>
      <c r="I134" s="13">
        <f>Info!L198</f>
        <v>0</v>
      </c>
      <c r="J134" s="13">
        <f>Info!M198</f>
        <v>0</v>
      </c>
      <c r="K134" s="13">
        <f>Info!N198</f>
        <v>0</v>
      </c>
      <c r="L134" s="13">
        <f>Info!O198</f>
        <v>0</v>
      </c>
      <c r="M134" s="13">
        <f>Info!P198</f>
        <v>0</v>
      </c>
      <c r="N134" s="13">
        <f>Info!Q198</f>
        <v>0</v>
      </c>
      <c r="O134" s="13">
        <f>Info!R198</f>
        <v>0</v>
      </c>
      <c r="P134" s="13">
        <f>Info!S198</f>
        <v>0</v>
      </c>
      <c r="Q134" s="13">
        <f>Info!T198</f>
        <v>0</v>
      </c>
      <c r="R134" s="13">
        <f>Info!U198</f>
        <v>0</v>
      </c>
      <c r="S134" s="13">
        <f>Info!V198</f>
        <v>0</v>
      </c>
      <c r="T134" s="13">
        <f>Info!W198</f>
        <v>0</v>
      </c>
      <c r="U134" s="13">
        <f>Info!X198</f>
        <v>0</v>
      </c>
      <c r="V134" s="13">
        <f>Info!Y198</f>
        <v>0</v>
      </c>
      <c r="W134" t="str">
        <f>Info!H198</f>
        <v>settings.read, settings.write</v>
      </c>
      <c r="X134" s="12"/>
    </row>
    <row r="135" spans="2:24" x14ac:dyDescent="0.2">
      <c r="B135" t="b">
        <v>0</v>
      </c>
      <c r="C135" s="14" t="str" cm="1">
        <f t="array" ref="C135">IF(B135=TRUE,NowStatic(),"")</f>
        <v/>
      </c>
      <c r="D135" s="7">
        <f>Info!I199</f>
        <v>1</v>
      </c>
      <c r="E135" t="str">
        <f>Info!A199</f>
        <v>dynatrace_user_session_metrics</v>
      </c>
      <c r="F135" t="str">
        <f>Info!G199</f>
        <v>Settings 2.0</v>
      </c>
      <c r="G135" s="7">
        <f>Info!J199</f>
        <v>0</v>
      </c>
      <c r="H135" s="13">
        <f>Info!K199</f>
        <v>0</v>
      </c>
      <c r="I135" s="13">
        <f>Info!L199</f>
        <v>0</v>
      </c>
      <c r="J135" s="13">
        <f>Info!M199</f>
        <v>0</v>
      </c>
      <c r="K135" s="13">
        <f>Info!N199</f>
        <v>0</v>
      </c>
      <c r="L135" s="13">
        <f>Info!O199</f>
        <v>0</v>
      </c>
      <c r="M135" s="13">
        <f>Info!P199</f>
        <v>0</v>
      </c>
      <c r="N135" s="13">
        <f>Info!Q199</f>
        <v>0</v>
      </c>
      <c r="O135" s="13">
        <f>Info!R199</f>
        <v>0</v>
      </c>
      <c r="P135" s="13">
        <f>Info!S199</f>
        <v>0</v>
      </c>
      <c r="Q135" s="13">
        <f>Info!T199</f>
        <v>0</v>
      </c>
      <c r="R135" s="13">
        <f>Info!U199</f>
        <v>0</v>
      </c>
      <c r="S135" s="13">
        <f>Info!V199</f>
        <v>0</v>
      </c>
      <c r="T135" s="13">
        <f>Info!W199</f>
        <v>0</v>
      </c>
      <c r="U135" s="13">
        <f>Info!X199</f>
        <v>0</v>
      </c>
      <c r="V135" s="13">
        <f>Info!Y199</f>
        <v>0</v>
      </c>
      <c r="W135" t="str">
        <f>Info!H199</f>
        <v>settings.read, settings.write</v>
      </c>
      <c r="X135" s="12"/>
    </row>
    <row r="136" spans="2:24" x14ac:dyDescent="0.2">
      <c r="B136" t="b">
        <v>0</v>
      </c>
      <c r="C136" s="14" t="str" cm="1">
        <f t="array" ref="C136">IF(B136=TRUE,NowStatic(),"")</f>
        <v/>
      </c>
      <c r="D136" s="7">
        <f>Info!I202</f>
        <v>1</v>
      </c>
      <c r="E136" t="str">
        <f>Info!A202</f>
        <v>dynatrace_vmware_anomalies</v>
      </c>
      <c r="F136" t="str">
        <f>Info!G202</f>
        <v>Settings 2.0</v>
      </c>
      <c r="G136" s="7">
        <f>Info!J202</f>
        <v>0</v>
      </c>
      <c r="H136" s="13">
        <f>Info!K202</f>
        <v>0</v>
      </c>
      <c r="I136" s="13">
        <f>Info!L202</f>
        <v>0</v>
      </c>
      <c r="J136" s="13">
        <f>Info!M202</f>
        <v>0</v>
      </c>
      <c r="K136" s="13">
        <f>Info!N202</f>
        <v>0</v>
      </c>
      <c r="L136" s="13">
        <f>Info!O202</f>
        <v>0</v>
      </c>
      <c r="M136" s="13">
        <f>Info!P202</f>
        <v>0</v>
      </c>
      <c r="N136" s="13">
        <f>Info!Q202</f>
        <v>0</v>
      </c>
      <c r="O136" s="13">
        <f>Info!R202</f>
        <v>0</v>
      </c>
      <c r="P136" s="13">
        <f>Info!S202</f>
        <v>0</v>
      </c>
      <c r="Q136" s="13">
        <f>Info!T202</f>
        <v>0</v>
      </c>
      <c r="R136" s="13">
        <f>Info!U202</f>
        <v>0</v>
      </c>
      <c r="S136" s="13">
        <f>Info!V202</f>
        <v>0</v>
      </c>
      <c r="T136" s="13">
        <f>Info!W202</f>
        <v>0</v>
      </c>
      <c r="U136" s="13">
        <f>Info!X202</f>
        <v>0</v>
      </c>
      <c r="V136" s="13">
        <f>Info!Y202</f>
        <v>0</v>
      </c>
      <c r="W136" t="str">
        <f>Info!H202</f>
        <v>settings.read, settings.write</v>
      </c>
      <c r="X136" s="12"/>
    </row>
    <row r="137" spans="2:24" x14ac:dyDescent="0.2">
      <c r="B137" t="b">
        <v>0</v>
      </c>
      <c r="C137" s="14" t="str" cm="1">
        <f t="array" ref="C137">IF(B137=TRUE,NowStatic(),"")</f>
        <v/>
      </c>
      <c r="D137" s="7">
        <f>Info!I204</f>
        <v>1</v>
      </c>
      <c r="E137" t="str">
        <f>Info!A204</f>
        <v>dynatrace_web_app_beacon_origins</v>
      </c>
      <c r="F137" t="str">
        <f>Info!G204</f>
        <v>Settings 2.0</v>
      </c>
      <c r="G137" s="7">
        <f>Info!J204</f>
        <v>0</v>
      </c>
      <c r="H137" s="13">
        <f>Info!K204</f>
        <v>0</v>
      </c>
      <c r="I137" s="13">
        <f>Info!L204</f>
        <v>0</v>
      </c>
      <c r="J137" s="13">
        <f>Info!M204</f>
        <v>0</v>
      </c>
      <c r="K137" s="13">
        <f>Info!N204</f>
        <v>0</v>
      </c>
      <c r="L137" s="13">
        <f>Info!O204</f>
        <v>0</v>
      </c>
      <c r="M137" s="13">
        <f>Info!P204</f>
        <v>0</v>
      </c>
      <c r="N137" s="13">
        <f>Info!Q204</f>
        <v>0</v>
      </c>
      <c r="O137" s="13">
        <f>Info!R204</f>
        <v>0</v>
      </c>
      <c r="P137" s="13">
        <f>Info!S204</f>
        <v>0</v>
      </c>
      <c r="Q137" s="13">
        <f>Info!T204</f>
        <v>0</v>
      </c>
      <c r="R137" s="13">
        <f>Info!U204</f>
        <v>0</v>
      </c>
      <c r="S137" s="13">
        <f>Info!V204</f>
        <v>0</v>
      </c>
      <c r="T137" s="13">
        <f>Info!W204</f>
        <v>0</v>
      </c>
      <c r="U137" s="13">
        <f>Info!X204</f>
        <v>0</v>
      </c>
      <c r="V137" s="13">
        <f>Info!Y204</f>
        <v>0</v>
      </c>
      <c r="W137" t="str">
        <f>Info!H204</f>
        <v>settings.read, settings.write</v>
      </c>
      <c r="X137" s="12"/>
    </row>
    <row r="138" spans="2:24" x14ac:dyDescent="0.2">
      <c r="B138" t="b">
        <v>0</v>
      </c>
      <c r="C138" s="14" t="str" cm="1">
        <f t="array" ref="C138">IF(B138=TRUE,NowStatic(),"")</f>
        <v/>
      </c>
      <c r="D138" s="7">
        <f>Info!I208</f>
        <v>1</v>
      </c>
      <c r="E138" t="str">
        <f>Info!A208</f>
        <v>dynatrace_web_app_javascript_version</v>
      </c>
      <c r="F138" t="str">
        <f>Info!G208</f>
        <v>Settings 2.0</v>
      </c>
      <c r="G138" s="7">
        <f>Info!J208</f>
        <v>0</v>
      </c>
      <c r="H138" s="13">
        <f>Info!K208</f>
        <v>0</v>
      </c>
      <c r="I138" s="13">
        <f>Info!L208</f>
        <v>0</v>
      </c>
      <c r="J138" s="13">
        <f>Info!M208</f>
        <v>0</v>
      </c>
      <c r="K138" s="13">
        <f>Info!N208</f>
        <v>0</v>
      </c>
      <c r="L138" s="13">
        <f>Info!O208</f>
        <v>0</v>
      </c>
      <c r="M138" s="13">
        <f>Info!P208</f>
        <v>0</v>
      </c>
      <c r="N138" s="13">
        <f>Info!Q208</f>
        <v>0</v>
      </c>
      <c r="O138" s="13">
        <f>Info!R208</f>
        <v>0</v>
      </c>
      <c r="P138" s="13">
        <f>Info!S208</f>
        <v>0</v>
      </c>
      <c r="Q138" s="13">
        <f>Info!T208</f>
        <v>0</v>
      </c>
      <c r="R138" s="13">
        <f>Info!U208</f>
        <v>0</v>
      </c>
      <c r="S138" s="13">
        <f>Info!V208</f>
        <v>0</v>
      </c>
      <c r="T138" s="13">
        <f>Info!W208</f>
        <v>0</v>
      </c>
      <c r="U138" s="13">
        <f>Info!X208</f>
        <v>0</v>
      </c>
      <c r="V138" s="13">
        <f>Info!Y208</f>
        <v>0</v>
      </c>
      <c r="W138" t="str">
        <f>Info!H208</f>
        <v>settings.read, settings.write</v>
      </c>
      <c r="X138" s="12"/>
    </row>
    <row r="139" spans="2:24" x14ac:dyDescent="0.2">
      <c r="B139" t="b">
        <v>0</v>
      </c>
      <c r="C139" s="14" t="str" cm="1">
        <f t="array" ref="C139">IF(B139=TRUE,NowStatic(),"")</f>
        <v/>
      </c>
      <c r="D139" s="7">
        <f>Info!I213</f>
        <v>1</v>
      </c>
      <c r="E139" t="str">
        <f>Info!A213</f>
        <v>dynatrace_web_app_resource_cleanup</v>
      </c>
      <c r="F139" t="str">
        <f>Info!G213</f>
        <v>Settings 2.0</v>
      </c>
      <c r="G139" s="7">
        <f>Info!J213</f>
        <v>0</v>
      </c>
      <c r="H139" s="13">
        <f>Info!K213</f>
        <v>0</v>
      </c>
      <c r="I139" s="13">
        <f>Info!L213</f>
        <v>0</v>
      </c>
      <c r="J139" s="13">
        <f>Info!M213</f>
        <v>0</v>
      </c>
      <c r="K139" s="13">
        <f>Info!N213</f>
        <v>0</v>
      </c>
      <c r="L139" s="13">
        <f>Info!O213</f>
        <v>0</v>
      </c>
      <c r="M139" s="13">
        <f>Info!P213</f>
        <v>0</v>
      </c>
      <c r="N139" s="13">
        <f>Info!Q213</f>
        <v>0</v>
      </c>
      <c r="O139" s="13">
        <f>Info!R213</f>
        <v>0</v>
      </c>
      <c r="P139" s="13">
        <f>Info!S213</f>
        <v>0</v>
      </c>
      <c r="Q139" s="13">
        <f>Info!T213</f>
        <v>0</v>
      </c>
      <c r="R139" s="13">
        <f>Info!U213</f>
        <v>0</v>
      </c>
      <c r="S139" s="13">
        <f>Info!V213</f>
        <v>0</v>
      </c>
      <c r="T139" s="13">
        <f>Info!W213</f>
        <v>0</v>
      </c>
      <c r="U139" s="13">
        <f>Info!X213</f>
        <v>0</v>
      </c>
      <c r="V139" s="13">
        <f>Info!Y213</f>
        <v>0</v>
      </c>
      <c r="W139" t="str">
        <f>Info!H213</f>
        <v>settings.read, settings.write</v>
      </c>
      <c r="X139" s="12"/>
    </row>
    <row r="140" spans="2:24" x14ac:dyDescent="0.2">
      <c r="B140" t="b">
        <v>0</v>
      </c>
      <c r="C140" s="14" t="str" cm="1">
        <f t="array" ref="C140">IF(B140=TRUE,NowStatic(),"")</f>
        <v/>
      </c>
      <c r="D140" s="7">
        <f>Info!I214</f>
        <v>1</v>
      </c>
      <c r="E140" t="str">
        <f>Info!A214</f>
        <v>dynatrace_web_app_resource_types</v>
      </c>
      <c r="F140" t="str">
        <f>Info!G214</f>
        <v>Settings 2.0</v>
      </c>
      <c r="G140" s="7">
        <f>Info!J214</f>
        <v>0</v>
      </c>
      <c r="H140" s="13">
        <f>Info!K214</f>
        <v>0</v>
      </c>
      <c r="I140" s="13">
        <f>Info!L214</f>
        <v>0</v>
      </c>
      <c r="J140" s="13">
        <f>Info!M214</f>
        <v>0</v>
      </c>
      <c r="K140" s="13">
        <f>Info!N214</f>
        <v>0</v>
      </c>
      <c r="L140" s="13">
        <f>Info!O214</f>
        <v>0</v>
      </c>
      <c r="M140" s="13">
        <f>Info!P214</f>
        <v>0</v>
      </c>
      <c r="N140" s="13">
        <f>Info!Q214</f>
        <v>0</v>
      </c>
      <c r="O140" s="13">
        <f>Info!R214</f>
        <v>0</v>
      </c>
      <c r="P140" s="13">
        <f>Info!S214</f>
        <v>0</v>
      </c>
      <c r="Q140" s="13">
        <f>Info!T214</f>
        <v>0</v>
      </c>
      <c r="R140" s="13">
        <f>Info!U214</f>
        <v>0</v>
      </c>
      <c r="S140" s="13">
        <f>Info!V214</f>
        <v>0</v>
      </c>
      <c r="T140" s="13">
        <f>Info!W214</f>
        <v>0</v>
      </c>
      <c r="U140" s="13">
        <f>Info!X214</f>
        <v>0</v>
      </c>
      <c r="V140" s="13">
        <f>Info!Y214</f>
        <v>0</v>
      </c>
      <c r="W140" t="str">
        <f>Info!H214</f>
        <v>settings.read, settings.write</v>
      </c>
      <c r="X140" s="12"/>
    </row>
    <row r="141" spans="2:24" x14ac:dyDescent="0.2">
      <c r="B141" t="b">
        <v>0</v>
      </c>
      <c r="C141" s="14" t="str" cm="1">
        <f t="array" ref="C141">IF(B141=TRUE,NowStatic(),"")</f>
        <v/>
      </c>
      <c r="D141" s="7">
        <f>Info!I5</f>
        <v>2</v>
      </c>
      <c r="E141" t="str">
        <f>Info!A5</f>
        <v>dynatrace_alerting</v>
      </c>
      <c r="F141" t="str">
        <f>Info!G5</f>
        <v>Settings 2.0</v>
      </c>
      <c r="G141" s="7">
        <f>Info!J5</f>
        <v>1</v>
      </c>
      <c r="H141" s="13" t="str">
        <f>Info!K5</f>
        <v>X</v>
      </c>
      <c r="I141" s="13">
        <f>Info!L5</f>
        <v>0</v>
      </c>
      <c r="J141" s="13">
        <f>Info!M5</f>
        <v>0</v>
      </c>
      <c r="K141" s="13">
        <f>Info!N5</f>
        <v>0</v>
      </c>
      <c r="L141" s="13">
        <f>Info!O5</f>
        <v>0</v>
      </c>
      <c r="M141" s="13">
        <f>Info!P5</f>
        <v>0</v>
      </c>
      <c r="N141" s="13">
        <f>Info!Q5</f>
        <v>0</v>
      </c>
      <c r="O141" s="13">
        <f>Info!R5</f>
        <v>0</v>
      </c>
      <c r="P141" s="13">
        <f>Info!S5</f>
        <v>0</v>
      </c>
      <c r="Q141" s="13">
        <f>Info!T5</f>
        <v>0</v>
      </c>
      <c r="R141" s="13">
        <f>Info!U5</f>
        <v>0</v>
      </c>
      <c r="S141" s="13">
        <f>Info!V5</f>
        <v>0</v>
      </c>
      <c r="T141" s="13">
        <f>Info!W5</f>
        <v>0</v>
      </c>
      <c r="U141" s="13">
        <f>Info!X5</f>
        <v>0</v>
      </c>
      <c r="V141" s="13">
        <f>Info!Y5</f>
        <v>0</v>
      </c>
      <c r="W141" t="str">
        <f>Info!H5</f>
        <v>settings.read, settings.write</v>
      </c>
      <c r="X141" s="12"/>
    </row>
    <row r="142" spans="2:24" x14ac:dyDescent="0.2">
      <c r="B142" t="b">
        <v>0</v>
      </c>
      <c r="C142" s="14" t="str" cm="1">
        <f t="array" ref="C142">IF(B142=TRUE,NowStatic(),"")</f>
        <v/>
      </c>
      <c r="D142" s="7">
        <f>Info!I27</f>
        <v>2</v>
      </c>
      <c r="E142" t="str">
        <f>Info!A27</f>
        <v>dynatrace_calculated_service_metric</v>
      </c>
      <c r="F142" t="str">
        <f>Info!G27</f>
        <v>Config</v>
      </c>
      <c r="G142" s="7">
        <f>Info!J27</f>
        <v>2</v>
      </c>
      <c r="H142" s="13" t="str">
        <f>Info!K27</f>
        <v>X</v>
      </c>
      <c r="I142" s="13">
        <f>Info!L27</f>
        <v>0</v>
      </c>
      <c r="J142" s="13" t="str">
        <f>Info!M27</f>
        <v>X</v>
      </c>
      <c r="K142" s="13">
        <f>Info!N27</f>
        <v>0</v>
      </c>
      <c r="L142" s="13">
        <f>Info!O27</f>
        <v>0</v>
      </c>
      <c r="M142" s="13">
        <f>Info!P27</f>
        <v>0</v>
      </c>
      <c r="N142" s="13">
        <f>Info!Q27</f>
        <v>0</v>
      </c>
      <c r="O142" s="13">
        <f>Info!R27</f>
        <v>0</v>
      </c>
      <c r="P142" s="13">
        <f>Info!S27</f>
        <v>0</v>
      </c>
      <c r="Q142" s="13">
        <f>Info!T27</f>
        <v>0</v>
      </c>
      <c r="R142" s="13">
        <f>Info!U27</f>
        <v>0</v>
      </c>
      <c r="S142" s="13">
        <f>Info!V27</f>
        <v>0</v>
      </c>
      <c r="T142" s="13">
        <f>Info!W27</f>
        <v>0</v>
      </c>
      <c r="U142" s="13">
        <f>Info!X27</f>
        <v>0</v>
      </c>
      <c r="V142" s="13">
        <f>Info!Y27</f>
        <v>0</v>
      </c>
      <c r="W142" t="str">
        <f>Info!H27</f>
        <v>ReadConfig, WriteConfig</v>
      </c>
      <c r="X142" s="12"/>
    </row>
    <row r="143" spans="2:24" x14ac:dyDescent="0.2">
      <c r="B143" t="b">
        <v>0</v>
      </c>
      <c r="C143" s="14" t="str" cm="1">
        <f t="array" ref="C143">IF(B143=TRUE,NowStatic(),"")</f>
        <v/>
      </c>
      <c r="D143" s="7">
        <f>Info!I63</f>
        <v>2</v>
      </c>
      <c r="E143" t="str">
        <f>Info!A63</f>
        <v>dynatrace_failure_detection_rules</v>
      </c>
      <c r="F143" t="str">
        <f>Info!G63</f>
        <v>Settings 2.0</v>
      </c>
      <c r="G143" s="7">
        <f>Info!J63</f>
        <v>1</v>
      </c>
      <c r="H143" s="13">
        <f>Info!K63</f>
        <v>0</v>
      </c>
      <c r="I143" s="13">
        <f>Info!L63</f>
        <v>0</v>
      </c>
      <c r="J143" s="13">
        <f>Info!M63</f>
        <v>0</v>
      </c>
      <c r="K143" s="13">
        <f>Info!N63</f>
        <v>0</v>
      </c>
      <c r="L143" s="13">
        <f>Info!O63</f>
        <v>0</v>
      </c>
      <c r="M143" s="13">
        <f>Info!P63</f>
        <v>0</v>
      </c>
      <c r="N143" s="13">
        <f>Info!Q63</f>
        <v>0</v>
      </c>
      <c r="O143" s="13">
        <f>Info!R63</f>
        <v>0</v>
      </c>
      <c r="P143" s="13">
        <f>Info!S63</f>
        <v>0</v>
      </c>
      <c r="Q143" s="13">
        <f>Info!T63</f>
        <v>0</v>
      </c>
      <c r="R143" s="13" t="str">
        <f>Info!U63</f>
        <v>X</v>
      </c>
      <c r="S143" s="13">
        <f>Info!V63</f>
        <v>0</v>
      </c>
      <c r="T143" s="13">
        <f>Info!W63</f>
        <v>0</v>
      </c>
      <c r="U143" s="13">
        <f>Info!X63</f>
        <v>0</v>
      </c>
      <c r="V143" s="13">
        <f>Info!Y63</f>
        <v>0</v>
      </c>
      <c r="W143" t="str">
        <f>Info!H63</f>
        <v>settings.read, settings.write</v>
      </c>
      <c r="X143" s="12"/>
    </row>
    <row r="144" spans="2:24" x14ac:dyDescent="0.2">
      <c r="B144" t="b">
        <v>0</v>
      </c>
      <c r="C144" s="14" t="str" cm="1">
        <f t="array" ref="C144">IF(B144=TRUE,NowStatic(),"")</f>
        <v/>
      </c>
      <c r="D144" s="7">
        <f>Info!I107</f>
        <v>2</v>
      </c>
      <c r="E144" t="str">
        <f>Info!A107</f>
        <v>dynatrace_maintenance</v>
      </c>
      <c r="F144" t="str">
        <f>Info!G107</f>
        <v>Settings 2.0</v>
      </c>
      <c r="G144" s="7">
        <f>Info!J107</f>
        <v>1</v>
      </c>
      <c r="H144" s="13" t="str">
        <f>Info!K107</f>
        <v>X</v>
      </c>
      <c r="I144" s="13">
        <f>Info!L107</f>
        <v>0</v>
      </c>
      <c r="J144" s="13">
        <f>Info!M107</f>
        <v>0</v>
      </c>
      <c r="K144" s="13">
        <f>Info!N107</f>
        <v>0</v>
      </c>
      <c r="L144" s="13">
        <f>Info!O107</f>
        <v>0</v>
      </c>
      <c r="M144" s="13">
        <f>Info!P107</f>
        <v>0</v>
      </c>
      <c r="N144" s="13">
        <f>Info!Q107</f>
        <v>0</v>
      </c>
      <c r="O144" s="13">
        <f>Info!R107</f>
        <v>0</v>
      </c>
      <c r="P144" s="13">
        <f>Info!S107</f>
        <v>0</v>
      </c>
      <c r="Q144" s="13">
        <f>Info!T107</f>
        <v>0</v>
      </c>
      <c r="R144" s="13">
        <f>Info!U107</f>
        <v>0</v>
      </c>
      <c r="S144" s="13">
        <f>Info!V107</f>
        <v>0</v>
      </c>
      <c r="T144" s="13">
        <f>Info!W107</f>
        <v>0</v>
      </c>
      <c r="U144" s="13">
        <f>Info!X107</f>
        <v>0</v>
      </c>
      <c r="V144" s="13">
        <f>Info!Y107</f>
        <v>0</v>
      </c>
      <c r="W144" t="str">
        <f>Info!H107</f>
        <v>settings.read, settings.write</v>
      </c>
      <c r="X144" s="12"/>
    </row>
    <row r="145" spans="2:24" x14ac:dyDescent="0.2">
      <c r="B145" t="b">
        <v>0</v>
      </c>
      <c r="C145" s="14" t="str" cm="1">
        <f t="array" ref="C145">IF(B145=TRUE,NowStatic(),"")</f>
        <v/>
      </c>
      <c r="D145" s="7">
        <f>Info!I111</f>
        <v>2</v>
      </c>
      <c r="E145" t="str">
        <f>Info!A111</f>
        <v>dynatrace_metric_events</v>
      </c>
      <c r="F145" t="str">
        <f>Info!G111</f>
        <v>Settings 2.0</v>
      </c>
      <c r="G145" s="7">
        <f>Info!J111</f>
        <v>1</v>
      </c>
      <c r="H145" s="13" t="str">
        <f>Info!K111</f>
        <v>X</v>
      </c>
      <c r="I145" s="13">
        <f>Info!L111</f>
        <v>0</v>
      </c>
      <c r="J145" s="13">
        <f>Info!M111</f>
        <v>0</v>
      </c>
      <c r="K145" s="13">
        <f>Info!N111</f>
        <v>0</v>
      </c>
      <c r="L145" s="13">
        <f>Info!O111</f>
        <v>0</v>
      </c>
      <c r="M145" s="13">
        <f>Info!P111</f>
        <v>0</v>
      </c>
      <c r="N145" s="13">
        <f>Info!Q111</f>
        <v>0</v>
      </c>
      <c r="O145" s="13">
        <f>Info!R111</f>
        <v>0</v>
      </c>
      <c r="P145" s="13">
        <f>Info!S111</f>
        <v>0</v>
      </c>
      <c r="Q145" s="13">
        <f>Info!T111</f>
        <v>0</v>
      </c>
      <c r="R145" s="13">
        <f>Info!U111</f>
        <v>0</v>
      </c>
      <c r="S145" s="13">
        <f>Info!V111</f>
        <v>0</v>
      </c>
      <c r="T145" s="13">
        <f>Info!W111</f>
        <v>0</v>
      </c>
      <c r="U145" s="13">
        <f>Info!X111</f>
        <v>0</v>
      </c>
      <c r="V145" s="13">
        <f>Info!Y111</f>
        <v>0</v>
      </c>
      <c r="W145" t="str">
        <f>Info!H111</f>
        <v>settings.read, settings.write</v>
      </c>
      <c r="X145" s="12"/>
    </row>
    <row r="146" spans="2:24" x14ac:dyDescent="0.2">
      <c r="B146" t="b">
        <v>0</v>
      </c>
      <c r="C146" s="14" t="str" cm="1">
        <f t="array" ref="C146">IF(B146=TRUE,NowStatic(),"")</f>
        <v/>
      </c>
      <c r="D146" s="7">
        <f>Info!I118</f>
        <v>2</v>
      </c>
      <c r="E146" t="str">
        <f>Info!A118</f>
        <v>dynatrace_mobile_application</v>
      </c>
      <c r="F146" t="str">
        <f>Info!G118</f>
        <v>Config</v>
      </c>
      <c r="G146" s="7">
        <f>Info!J118</f>
        <v>1</v>
      </c>
      <c r="H146" s="13">
        <f>Info!K118</f>
        <v>0</v>
      </c>
      <c r="I146" s="13">
        <f>Info!L118</f>
        <v>0</v>
      </c>
      <c r="J146" s="13" t="str">
        <f>Info!M118</f>
        <v>X</v>
      </c>
      <c r="K146" s="13">
        <f>Info!N118</f>
        <v>0</v>
      </c>
      <c r="L146" s="13">
        <f>Info!O118</f>
        <v>0</v>
      </c>
      <c r="M146" s="13">
        <f>Info!P118</f>
        <v>0</v>
      </c>
      <c r="N146" s="13">
        <f>Info!Q118</f>
        <v>0</v>
      </c>
      <c r="O146" s="13">
        <f>Info!R118</f>
        <v>0</v>
      </c>
      <c r="P146" s="13">
        <f>Info!S118</f>
        <v>0</v>
      </c>
      <c r="Q146" s="13">
        <f>Info!T118</f>
        <v>0</v>
      </c>
      <c r="R146" s="13">
        <f>Info!U118</f>
        <v>0</v>
      </c>
      <c r="S146" s="13">
        <f>Info!V118</f>
        <v>0</v>
      </c>
      <c r="T146" s="13">
        <f>Info!W118</f>
        <v>0</v>
      </c>
      <c r="U146" s="13">
        <f>Info!X118</f>
        <v>0</v>
      </c>
      <c r="V146" s="13">
        <f>Info!Y118</f>
        <v>0</v>
      </c>
      <c r="W146" t="str">
        <f>Info!H118</f>
        <v>ReadConfig, WriteConfig</v>
      </c>
      <c r="X146" s="12"/>
    </row>
    <row r="147" spans="2:24" x14ac:dyDescent="0.2">
      <c r="B147" t="b">
        <v>0</v>
      </c>
      <c r="C147" s="14" t="str" cm="1">
        <f t="array" ref="C147">IF(B147=TRUE,NowStatic(),"")</f>
        <v/>
      </c>
      <c r="D147" s="7">
        <f>Info!I138</f>
        <v>2</v>
      </c>
      <c r="E147" t="str">
        <f>Info!A138</f>
        <v>dynatrace_oneagent_updates</v>
      </c>
      <c r="F147" t="str">
        <f>Info!G138</f>
        <v>Settings 2.0</v>
      </c>
      <c r="G147" s="7">
        <f>Info!J138</f>
        <v>1</v>
      </c>
      <c r="H147" s="13">
        <f>Info!K138</f>
        <v>0</v>
      </c>
      <c r="I147" s="13">
        <f>Info!L138</f>
        <v>0</v>
      </c>
      <c r="J147" s="13">
        <f>Info!M138</f>
        <v>0</v>
      </c>
      <c r="K147" s="13">
        <f>Info!N138</f>
        <v>0</v>
      </c>
      <c r="L147" s="13">
        <f>Info!O138</f>
        <v>0</v>
      </c>
      <c r="M147" s="13">
        <f>Info!P138</f>
        <v>0</v>
      </c>
      <c r="N147" s="13">
        <f>Info!Q138</f>
        <v>0</v>
      </c>
      <c r="O147" s="13">
        <f>Info!R138</f>
        <v>0</v>
      </c>
      <c r="P147" s="13">
        <f>Info!S138</f>
        <v>0</v>
      </c>
      <c r="Q147" s="13">
        <f>Info!T138</f>
        <v>0</v>
      </c>
      <c r="R147" s="13">
        <f>Info!U138</f>
        <v>0</v>
      </c>
      <c r="S147" s="13" t="str">
        <f>Info!V138</f>
        <v>X</v>
      </c>
      <c r="T147" s="13">
        <f>Info!W138</f>
        <v>0</v>
      </c>
      <c r="U147" s="13">
        <f>Info!X138</f>
        <v>0</v>
      </c>
      <c r="V147" s="13">
        <f>Info!Y138</f>
        <v>0</v>
      </c>
      <c r="W147" t="str">
        <f>Info!H138</f>
        <v>settings.read, settings.write</v>
      </c>
      <c r="X147" s="12"/>
    </row>
    <row r="148" spans="2:24" x14ac:dyDescent="0.2">
      <c r="B148" t="b">
        <v>0</v>
      </c>
      <c r="C148" s="14" t="str" cm="1">
        <f t="array" ref="C148">IF(B148=TRUE,NowStatic(),"")</f>
        <v/>
      </c>
      <c r="D148" s="7">
        <f>Info!I161</f>
        <v>2</v>
      </c>
      <c r="E148" t="str">
        <f>Info!A161</f>
        <v>dynatrace_request_naming</v>
      </c>
      <c r="F148" t="str">
        <f>Info!G161</f>
        <v>Config</v>
      </c>
      <c r="G148" s="7">
        <f>Info!J161</f>
        <v>1</v>
      </c>
      <c r="H148" s="13">
        <f>Info!K161</f>
        <v>0</v>
      </c>
      <c r="I148" s="13">
        <f>Info!L161</f>
        <v>0</v>
      </c>
      <c r="J148" s="13" t="str">
        <f>Info!M161</f>
        <v>X</v>
      </c>
      <c r="K148" s="13">
        <f>Info!N161</f>
        <v>0</v>
      </c>
      <c r="L148" s="13">
        <f>Info!O161</f>
        <v>0</v>
      </c>
      <c r="M148" s="13">
        <f>Info!P161</f>
        <v>0</v>
      </c>
      <c r="N148" s="13">
        <f>Info!Q161</f>
        <v>0</v>
      </c>
      <c r="O148" s="13">
        <f>Info!R161</f>
        <v>0</v>
      </c>
      <c r="P148" s="13">
        <f>Info!S161</f>
        <v>0</v>
      </c>
      <c r="Q148" s="13">
        <f>Info!T161</f>
        <v>0</v>
      </c>
      <c r="R148" s="13">
        <f>Info!U161</f>
        <v>0</v>
      </c>
      <c r="S148" s="13">
        <f>Info!V161</f>
        <v>0</v>
      </c>
      <c r="T148" s="13">
        <f>Info!W161</f>
        <v>0</v>
      </c>
      <c r="U148" s="13">
        <f>Info!X161</f>
        <v>0</v>
      </c>
      <c r="V148" s="13">
        <f>Info!Y161</f>
        <v>0</v>
      </c>
      <c r="W148" t="str">
        <f>Info!H161</f>
        <v>ReadConfig, WriteConfig</v>
      </c>
      <c r="X148" s="12"/>
    </row>
    <row r="149" spans="2:24" x14ac:dyDescent="0.2">
      <c r="B149" t="b">
        <v>0</v>
      </c>
      <c r="C149" s="14" t="str" cm="1">
        <f t="array" ref="C149">IF(B149=TRUE,NowStatic(),"")</f>
        <v/>
      </c>
      <c r="D149" s="7">
        <f>Info!I174</f>
        <v>2</v>
      </c>
      <c r="E149" t="str">
        <f>Info!A174</f>
        <v>dynatrace_service_failure</v>
      </c>
      <c r="F149" t="str">
        <f>Info!G174</f>
        <v>Settings 2.0</v>
      </c>
      <c r="G149" s="7">
        <f>Info!J174</f>
        <v>1</v>
      </c>
      <c r="H149" s="13">
        <f>Info!K174</f>
        <v>0</v>
      </c>
      <c r="I149" s="13">
        <f>Info!L174</f>
        <v>0</v>
      </c>
      <c r="J149" s="13" t="str">
        <f>Info!M174</f>
        <v>X</v>
      </c>
      <c r="K149" s="13">
        <f>Info!N174</f>
        <v>0</v>
      </c>
      <c r="L149" s="13">
        <f>Info!O174</f>
        <v>0</v>
      </c>
      <c r="M149" s="13">
        <f>Info!P174</f>
        <v>0</v>
      </c>
      <c r="N149" s="13">
        <f>Info!Q174</f>
        <v>0</v>
      </c>
      <c r="O149" s="13">
        <f>Info!R174</f>
        <v>0</v>
      </c>
      <c r="P149" s="13">
        <f>Info!S174</f>
        <v>0</v>
      </c>
      <c r="Q149" s="13">
        <f>Info!T174</f>
        <v>0</v>
      </c>
      <c r="R149" s="13">
        <f>Info!U174</f>
        <v>0</v>
      </c>
      <c r="S149" s="13">
        <f>Info!V174</f>
        <v>0</v>
      </c>
      <c r="T149" s="13">
        <f>Info!W174</f>
        <v>0</v>
      </c>
      <c r="U149" s="13">
        <f>Info!X174</f>
        <v>0</v>
      </c>
      <c r="V149" s="13">
        <f>Info!Y174</f>
        <v>0</v>
      </c>
      <c r="W149" t="str">
        <f>Info!H174</f>
        <v>settings.read, settings.write</v>
      </c>
      <c r="X149" s="12"/>
    </row>
    <row r="150" spans="2:24" x14ac:dyDescent="0.2">
      <c r="B150" t="b">
        <v>0</v>
      </c>
      <c r="C150" s="14" t="str" cm="1">
        <f t="array" ref="C150">IF(B150=TRUE,NowStatic(),"")</f>
        <v/>
      </c>
      <c r="D150" s="7">
        <f>Info!I215</f>
        <v>2</v>
      </c>
      <c r="E150" t="str">
        <f>Info!A215</f>
        <v>dynatrace_web_application</v>
      </c>
      <c r="F150" t="str">
        <f>Info!G215</f>
        <v>Config</v>
      </c>
      <c r="G150" s="7">
        <f>Info!J215</f>
        <v>1</v>
      </c>
      <c r="H150" s="13">
        <f>Info!K215</f>
        <v>0</v>
      </c>
      <c r="I150" s="13">
        <f>Info!L215</f>
        <v>0</v>
      </c>
      <c r="J150" s="13" t="str">
        <f>Info!M215</f>
        <v>X</v>
      </c>
      <c r="K150" s="13">
        <f>Info!N215</f>
        <v>0</v>
      </c>
      <c r="L150" s="13">
        <f>Info!O215</f>
        <v>0</v>
      </c>
      <c r="M150" s="13">
        <f>Info!P215</f>
        <v>0</v>
      </c>
      <c r="N150" s="13">
        <f>Info!Q215</f>
        <v>0</v>
      </c>
      <c r="O150" s="13">
        <f>Info!R215</f>
        <v>0</v>
      </c>
      <c r="P150" s="13">
        <f>Info!S215</f>
        <v>0</v>
      </c>
      <c r="Q150" s="13">
        <f>Info!T215</f>
        <v>0</v>
      </c>
      <c r="R150" s="13">
        <f>Info!U215</f>
        <v>0</v>
      </c>
      <c r="S150" s="13">
        <f>Info!V215</f>
        <v>0</v>
      </c>
      <c r="T150" s="13">
        <f>Info!W215</f>
        <v>0</v>
      </c>
      <c r="U150" s="13">
        <f>Info!X215</f>
        <v>0</v>
      </c>
      <c r="V150" s="13">
        <f>Info!Y215</f>
        <v>0</v>
      </c>
      <c r="W150" t="str">
        <f>Info!H215</f>
        <v>ReadConfig, WriteConfig</v>
      </c>
      <c r="X150" s="12"/>
    </row>
    <row r="151" spans="2:24" x14ac:dyDescent="0.2">
      <c r="B151" t="b">
        <v>0</v>
      </c>
      <c r="C151" s="14" t="str" cm="1">
        <f t="array" ref="C151">IF(B151=TRUE,NowStatic(),"")</f>
        <v/>
      </c>
      <c r="D151" s="7">
        <f>Info!I7</f>
        <v>3</v>
      </c>
      <c r="E151" t="str">
        <f>Info!A7</f>
        <v>dynatrace_ansible_tower_notification</v>
      </c>
      <c r="F151" t="str">
        <f>Info!G7</f>
        <v>Settings 2.0</v>
      </c>
      <c r="G151" s="7">
        <f>Info!J7</f>
        <v>1</v>
      </c>
      <c r="H151" s="13">
        <f>Info!K7</f>
        <v>0</v>
      </c>
      <c r="I151" s="13" t="str">
        <f>Info!L7</f>
        <v>X</v>
      </c>
      <c r="J151" s="13">
        <f>Info!M7</f>
        <v>0</v>
      </c>
      <c r="K151" s="13">
        <f>Info!N7</f>
        <v>0</v>
      </c>
      <c r="L151" s="13">
        <f>Info!O7</f>
        <v>0</v>
      </c>
      <c r="M151" s="13">
        <f>Info!P7</f>
        <v>0</v>
      </c>
      <c r="N151" s="13">
        <f>Info!Q7</f>
        <v>0</v>
      </c>
      <c r="O151" s="13">
        <f>Info!R7</f>
        <v>0</v>
      </c>
      <c r="P151" s="13">
        <f>Info!S7</f>
        <v>0</v>
      </c>
      <c r="Q151" s="13">
        <f>Info!T7</f>
        <v>0</v>
      </c>
      <c r="R151" s="13">
        <f>Info!U7</f>
        <v>0</v>
      </c>
      <c r="S151" s="13">
        <f>Info!V7</f>
        <v>0</v>
      </c>
      <c r="T151" s="13">
        <f>Info!W7</f>
        <v>0</v>
      </c>
      <c r="U151" s="13">
        <f>Info!X7</f>
        <v>0</v>
      </c>
      <c r="V151" s="13">
        <f>Info!Y7</f>
        <v>0</v>
      </c>
      <c r="W151" t="str">
        <f>Info!H7</f>
        <v>settings.read, settings.write</v>
      </c>
      <c r="X151" s="12"/>
    </row>
    <row r="152" spans="2:24" x14ac:dyDescent="0.2">
      <c r="B152" t="b">
        <v>0</v>
      </c>
      <c r="C152" s="14" t="str" cm="1">
        <f t="array" ref="C152">IF(B152=TRUE,NowStatic(),"")</f>
        <v/>
      </c>
      <c r="D152" s="7">
        <f>Info!I11</f>
        <v>3</v>
      </c>
      <c r="E152" t="str">
        <f>Info!A11</f>
        <v>dynatrace_application_detection_rule</v>
      </c>
      <c r="F152" t="str">
        <f>Info!G11</f>
        <v>Config</v>
      </c>
      <c r="G152" s="7">
        <f>Info!J11</f>
        <v>1</v>
      </c>
      <c r="H152" s="13">
        <f>Info!K11</f>
        <v>0</v>
      </c>
      <c r="I152" s="13">
        <f>Info!L11</f>
        <v>0</v>
      </c>
      <c r="J152" s="13">
        <f>Info!M11</f>
        <v>0</v>
      </c>
      <c r="K152" s="13">
        <f>Info!N11</f>
        <v>0</v>
      </c>
      <c r="L152" s="13">
        <f>Info!O11</f>
        <v>0</v>
      </c>
      <c r="M152" s="13" t="str">
        <f>Info!P11</f>
        <v>X</v>
      </c>
      <c r="N152" s="13">
        <f>Info!Q11</f>
        <v>0</v>
      </c>
      <c r="O152" s="13">
        <f>Info!R11</f>
        <v>0</v>
      </c>
      <c r="P152" s="13">
        <f>Info!S11</f>
        <v>0</v>
      </c>
      <c r="Q152" s="13">
        <f>Info!T11</f>
        <v>0</v>
      </c>
      <c r="R152" s="13">
        <f>Info!U11</f>
        <v>0</v>
      </c>
      <c r="S152" s="13">
        <f>Info!V11</f>
        <v>0</v>
      </c>
      <c r="T152" s="13">
        <f>Info!W11</f>
        <v>0</v>
      </c>
      <c r="U152" s="13">
        <f>Info!X11</f>
        <v>0</v>
      </c>
      <c r="V152" s="13">
        <f>Info!Y11</f>
        <v>0</v>
      </c>
      <c r="W152" t="str">
        <f>Info!H11</f>
        <v>ReadConfig, WriteConfig</v>
      </c>
      <c r="X152" s="12"/>
    </row>
    <row r="153" spans="2:24" x14ac:dyDescent="0.2">
      <c r="B153" t="b">
        <v>0</v>
      </c>
      <c r="C153" s="14" t="str" cm="1">
        <f t="array" ref="C153">IF(B153=TRUE,NowStatic(),"")</f>
        <v/>
      </c>
      <c r="D153" s="7">
        <f>Info!I13</f>
        <v>3</v>
      </c>
      <c r="E153" t="str">
        <f>Info!A13</f>
        <v>dynatrace_application_error_rules</v>
      </c>
      <c r="F153" t="str">
        <f>Info!G13</f>
        <v>Config</v>
      </c>
      <c r="G153" s="7">
        <f>Info!J13</f>
        <v>1</v>
      </c>
      <c r="H153" s="13">
        <f>Info!K13</f>
        <v>0</v>
      </c>
      <c r="I153" s="13">
        <f>Info!L13</f>
        <v>0</v>
      </c>
      <c r="J153" s="13">
        <f>Info!M13</f>
        <v>0</v>
      </c>
      <c r="K153" s="13">
        <f>Info!N13</f>
        <v>0</v>
      </c>
      <c r="L153" s="13">
        <f>Info!O13</f>
        <v>0</v>
      </c>
      <c r="M153" s="13" t="str">
        <f>Info!P13</f>
        <v>X</v>
      </c>
      <c r="N153" s="13">
        <f>Info!Q13</f>
        <v>0</v>
      </c>
      <c r="O153" s="13">
        <f>Info!R13</f>
        <v>0</v>
      </c>
      <c r="P153" s="13">
        <f>Info!S13</f>
        <v>0</v>
      </c>
      <c r="Q153" s="13">
        <f>Info!T13</f>
        <v>0</v>
      </c>
      <c r="R153" s="13">
        <f>Info!U13</f>
        <v>0</v>
      </c>
      <c r="S153" s="13">
        <f>Info!V13</f>
        <v>0</v>
      </c>
      <c r="T153" s="13">
        <f>Info!W13</f>
        <v>0</v>
      </c>
      <c r="U153" s="13">
        <f>Info!X13</f>
        <v>0</v>
      </c>
      <c r="V153" s="13">
        <f>Info!Y13</f>
        <v>0</v>
      </c>
      <c r="W153" t="str">
        <f>Info!H13</f>
        <v>ReadConfig, WriteConfig</v>
      </c>
      <c r="X153" s="12"/>
    </row>
    <row r="154" spans="2:24" x14ac:dyDescent="0.2">
      <c r="B154" t="b">
        <v>0</v>
      </c>
      <c r="C154" s="14" t="str" cm="1">
        <f t="array" ref="C154">IF(B154=TRUE,NowStatic(),"")</f>
        <v/>
      </c>
      <c r="D154" s="7">
        <f>Info!I20</f>
        <v>3</v>
      </c>
      <c r="E154" t="str">
        <f>Info!A20</f>
        <v>dynatrace_browser_monitor</v>
      </c>
      <c r="F154" t="str">
        <f>Info!G20</f>
        <v>Environment v1</v>
      </c>
      <c r="G154" s="7">
        <f>Info!J20</f>
        <v>3</v>
      </c>
      <c r="H154" s="13">
        <f>Info!K20</f>
        <v>0</v>
      </c>
      <c r="I154" s="13">
        <f>Info!L20</f>
        <v>0</v>
      </c>
      <c r="J154" s="13">
        <f>Info!M20</f>
        <v>0</v>
      </c>
      <c r="K154" s="13">
        <f>Info!N20</f>
        <v>0</v>
      </c>
      <c r="L154" s="13">
        <f>Info!O20</f>
        <v>0</v>
      </c>
      <c r="M154" s="13" t="str">
        <f>Info!P20</f>
        <v>X</v>
      </c>
      <c r="N154" s="13">
        <f>Info!Q20</f>
        <v>0</v>
      </c>
      <c r="O154" s="13">
        <f>Info!R20</f>
        <v>0</v>
      </c>
      <c r="P154" s="13">
        <f>Info!S20</f>
        <v>0</v>
      </c>
      <c r="Q154" s="13" t="str">
        <f>Info!T20</f>
        <v>X</v>
      </c>
      <c r="R154" s="13">
        <f>Info!U20</f>
        <v>0</v>
      </c>
      <c r="S154" s="13">
        <f>Info!V20</f>
        <v>0</v>
      </c>
      <c r="T154" s="13">
        <f>Info!W20</f>
        <v>0</v>
      </c>
      <c r="U154" s="13" t="str">
        <f>Info!X20</f>
        <v>X</v>
      </c>
      <c r="V154" s="13">
        <f>Info!Y20</f>
        <v>0</v>
      </c>
      <c r="W154" t="str">
        <f>Info!H20</f>
        <v>ExternalSyntheticIntegration</v>
      </c>
      <c r="X154" s="12"/>
    </row>
    <row r="155" spans="2:24" x14ac:dyDescent="0.2">
      <c r="B155" t="b">
        <v>0</v>
      </c>
      <c r="C155" s="14" t="str" cm="1">
        <f t="array" ref="C155">IF(B155=TRUE,NowStatic(),"")</f>
        <v/>
      </c>
      <c r="D155" s="7">
        <f>Info!I37</f>
        <v>3</v>
      </c>
      <c r="E155" t="str">
        <f>Info!A37</f>
        <v>dynatrace_custom_app_anomalies</v>
      </c>
      <c r="F155" t="str">
        <f>Info!G37</f>
        <v>Settings 2.0</v>
      </c>
      <c r="G155" s="7">
        <f>Info!J37</f>
        <v>1</v>
      </c>
      <c r="H155" s="13">
        <f>Info!K37</f>
        <v>0</v>
      </c>
      <c r="I155" s="13">
        <f>Info!L37</f>
        <v>0</v>
      </c>
      <c r="J155" s="13">
        <f>Info!M37</f>
        <v>0</v>
      </c>
      <c r="K155" s="13">
        <f>Info!N37</f>
        <v>0</v>
      </c>
      <c r="L155" s="13">
        <f>Info!O37</f>
        <v>0</v>
      </c>
      <c r="M155" s="13">
        <f>Info!P37</f>
        <v>0</v>
      </c>
      <c r="N155" s="13" t="str">
        <f>Info!Q37</f>
        <v>X</v>
      </c>
      <c r="O155" s="13">
        <f>Info!R37</f>
        <v>0</v>
      </c>
      <c r="P155" s="13">
        <f>Info!S37</f>
        <v>0</v>
      </c>
      <c r="Q155" s="13">
        <f>Info!T37</f>
        <v>0</v>
      </c>
      <c r="R155" s="13">
        <f>Info!U37</f>
        <v>0</v>
      </c>
      <c r="S155" s="13">
        <f>Info!V37</f>
        <v>0</v>
      </c>
      <c r="T155" s="13">
        <f>Info!W37</f>
        <v>0</v>
      </c>
      <c r="U155" s="13">
        <f>Info!X37</f>
        <v>0</v>
      </c>
      <c r="V155" s="13">
        <f>Info!Y37</f>
        <v>0</v>
      </c>
      <c r="W155" t="str">
        <f>Info!H37</f>
        <v>settings.read, settings.write</v>
      </c>
      <c r="X155" s="12"/>
    </row>
    <row r="156" spans="2:24" x14ac:dyDescent="0.2">
      <c r="B156" t="b">
        <v>0</v>
      </c>
      <c r="C156" s="14" t="str" cm="1">
        <f t="array" ref="C156">IF(B156=TRUE,NowStatic(),"")</f>
        <v/>
      </c>
      <c r="D156" s="7">
        <f>Info!I38</f>
        <v>3</v>
      </c>
      <c r="E156" t="str">
        <f>Info!A38</f>
        <v>dynatrace_custom_app_crash_rate</v>
      </c>
      <c r="F156" t="str">
        <f>Info!G38</f>
        <v>Settings 2.0</v>
      </c>
      <c r="G156" s="7">
        <f>Info!J38</f>
        <v>1</v>
      </c>
      <c r="H156" s="13">
        <f>Info!K38</f>
        <v>0</v>
      </c>
      <c r="I156" s="13">
        <f>Info!L38</f>
        <v>0</v>
      </c>
      <c r="J156" s="13">
        <f>Info!M38</f>
        <v>0</v>
      </c>
      <c r="K156" s="13">
        <f>Info!N38</f>
        <v>0</v>
      </c>
      <c r="L156" s="13">
        <f>Info!O38</f>
        <v>0</v>
      </c>
      <c r="M156" s="13">
        <f>Info!P38</f>
        <v>0</v>
      </c>
      <c r="N156" s="13" t="str">
        <f>Info!Q38</f>
        <v>X</v>
      </c>
      <c r="O156" s="13">
        <f>Info!R38</f>
        <v>0</v>
      </c>
      <c r="P156" s="13">
        <f>Info!S38</f>
        <v>0</v>
      </c>
      <c r="Q156" s="13">
        <f>Info!T38</f>
        <v>0</v>
      </c>
      <c r="R156" s="13">
        <f>Info!U38</f>
        <v>0</v>
      </c>
      <c r="S156" s="13">
        <f>Info!V38</f>
        <v>0</v>
      </c>
      <c r="T156" s="13">
        <f>Info!W38</f>
        <v>0</v>
      </c>
      <c r="U156" s="13">
        <f>Info!X38</f>
        <v>0</v>
      </c>
      <c r="V156" s="13">
        <f>Info!Y38</f>
        <v>0</v>
      </c>
      <c r="W156" t="str">
        <f>Info!H38</f>
        <v>settings.read, settings.write</v>
      </c>
      <c r="X156" s="12"/>
    </row>
    <row r="157" spans="2:24" x14ac:dyDescent="0.2">
      <c r="B157" t="b">
        <v>0</v>
      </c>
      <c r="C157" s="14" t="str" cm="1">
        <f t="array" ref="C157">IF(B157=TRUE,NowStatic(),"")</f>
        <v/>
      </c>
      <c r="D157" s="7">
        <f>Info!I39</f>
        <v>3</v>
      </c>
      <c r="E157" t="str">
        <f>Info!A39</f>
        <v>dynatrace_custom_app_enablement</v>
      </c>
      <c r="F157" t="str">
        <f>Info!G39</f>
        <v>Settings 2.0</v>
      </c>
      <c r="G157" s="7">
        <f>Info!J39</f>
        <v>1</v>
      </c>
      <c r="H157" s="13">
        <f>Info!K39</f>
        <v>0</v>
      </c>
      <c r="I157" s="13">
        <f>Info!L39</f>
        <v>0</v>
      </c>
      <c r="J157" s="13">
        <f>Info!M39</f>
        <v>0</v>
      </c>
      <c r="K157" s="13">
        <f>Info!N39</f>
        <v>0</v>
      </c>
      <c r="L157" s="13">
        <f>Info!O39</f>
        <v>0</v>
      </c>
      <c r="M157" s="13">
        <f>Info!P39</f>
        <v>0</v>
      </c>
      <c r="N157" s="13" t="str">
        <f>Info!Q39</f>
        <v>X</v>
      </c>
      <c r="O157" s="13">
        <f>Info!R39</f>
        <v>0</v>
      </c>
      <c r="P157" s="13">
        <f>Info!S39</f>
        <v>0</v>
      </c>
      <c r="Q157" s="13">
        <f>Info!T39</f>
        <v>0</v>
      </c>
      <c r="R157" s="13">
        <f>Info!U39</f>
        <v>0</v>
      </c>
      <c r="S157" s="13">
        <f>Info!V39</f>
        <v>0</v>
      </c>
      <c r="T157" s="13">
        <f>Info!W39</f>
        <v>0</v>
      </c>
      <c r="U157" s="13">
        <f>Info!X39</f>
        <v>0</v>
      </c>
      <c r="V157" s="13">
        <f>Info!Y39</f>
        <v>0</v>
      </c>
      <c r="W157" t="str">
        <f>Info!H39</f>
        <v>settings.read, settings.write</v>
      </c>
      <c r="X157" s="12"/>
    </row>
    <row r="158" spans="2:24" x14ac:dyDescent="0.2">
      <c r="B158" t="b">
        <v>0</v>
      </c>
      <c r="C158" s="14" t="str" cm="1">
        <f t="array" ref="C158">IF(B158=TRUE,NowStatic(),"")</f>
        <v/>
      </c>
      <c r="D158" s="7">
        <f>Info!I47</f>
        <v>3</v>
      </c>
      <c r="E158" t="str">
        <f>Info!A47</f>
        <v>dynatrace_data_privacy</v>
      </c>
      <c r="F158" t="str">
        <f>Info!G47</f>
        <v>Settings 2.0</v>
      </c>
      <c r="G158" s="7">
        <f>Info!J47</f>
        <v>1</v>
      </c>
      <c r="H158" s="13">
        <f>Info!K47</f>
        <v>0</v>
      </c>
      <c r="I158" s="13">
        <f>Info!L47</f>
        <v>0</v>
      </c>
      <c r="J158" s="13">
        <f>Info!M47</f>
        <v>0</v>
      </c>
      <c r="K158" s="13">
        <f>Info!N47</f>
        <v>0</v>
      </c>
      <c r="L158" s="13">
        <f>Info!O47</f>
        <v>0</v>
      </c>
      <c r="M158" s="13" t="str">
        <f>Info!P47</f>
        <v>X</v>
      </c>
      <c r="N158" s="13">
        <f>Info!Q47</f>
        <v>0</v>
      </c>
      <c r="O158" s="13">
        <f>Info!R47</f>
        <v>0</v>
      </c>
      <c r="P158" s="13">
        <f>Info!S47</f>
        <v>0</v>
      </c>
      <c r="Q158" s="13">
        <f>Info!T47</f>
        <v>0</v>
      </c>
      <c r="R158" s="13">
        <f>Info!U47</f>
        <v>0</v>
      </c>
      <c r="S158" s="13">
        <f>Info!V47</f>
        <v>0</v>
      </c>
      <c r="T158" s="13">
        <f>Info!W47</f>
        <v>0</v>
      </c>
      <c r="U158" s="13">
        <f>Info!X47</f>
        <v>0</v>
      </c>
      <c r="V158" s="13">
        <f>Info!Y47</f>
        <v>0</v>
      </c>
      <c r="W158" t="str">
        <f>Info!H47</f>
        <v>settings.read, settings.write</v>
      </c>
      <c r="X158" s="12"/>
    </row>
    <row r="159" spans="2:24" x14ac:dyDescent="0.2">
      <c r="B159" t="b">
        <v>0</v>
      </c>
      <c r="C159" s="14" t="str" cm="1">
        <f t="array" ref="C159">IF(B159=TRUE,NowStatic(),"")</f>
        <v/>
      </c>
      <c r="D159" s="7">
        <f>Info!I58</f>
        <v>3</v>
      </c>
      <c r="E159" t="str">
        <f>Info!A58</f>
        <v>dynatrace_email_notification</v>
      </c>
      <c r="F159" t="str">
        <f>Info!G58</f>
        <v>Settings 2.0</v>
      </c>
      <c r="G159" s="7">
        <f>Info!J58</f>
        <v>1</v>
      </c>
      <c r="H159" s="13">
        <f>Info!K58</f>
        <v>0</v>
      </c>
      <c r="I159" s="13" t="str">
        <f>Info!L58</f>
        <v>X</v>
      </c>
      <c r="J159" s="13">
        <f>Info!M58</f>
        <v>0</v>
      </c>
      <c r="K159" s="13">
        <f>Info!N58</f>
        <v>0</v>
      </c>
      <c r="L159" s="13">
        <f>Info!O58</f>
        <v>0</v>
      </c>
      <c r="M159" s="13">
        <f>Info!P58</f>
        <v>0</v>
      </c>
      <c r="N159" s="13">
        <f>Info!Q58</f>
        <v>0</v>
      </c>
      <c r="O159" s="13">
        <f>Info!R58</f>
        <v>0</v>
      </c>
      <c r="P159" s="13">
        <f>Info!S58</f>
        <v>0</v>
      </c>
      <c r="Q159" s="13">
        <f>Info!T58</f>
        <v>0</v>
      </c>
      <c r="R159" s="13">
        <f>Info!U58</f>
        <v>0</v>
      </c>
      <c r="S159" s="13">
        <f>Info!V58</f>
        <v>0</v>
      </c>
      <c r="T159" s="13">
        <f>Info!W58</f>
        <v>0</v>
      </c>
      <c r="U159" s="13">
        <f>Info!X58</f>
        <v>0</v>
      </c>
      <c r="V159" s="13">
        <f>Info!Y58</f>
        <v>0</v>
      </c>
      <c r="W159" t="str">
        <f>Info!H58</f>
        <v>settings.read, settings.write</v>
      </c>
      <c r="X159" s="12"/>
    </row>
    <row r="160" spans="2:24" x14ac:dyDescent="0.2">
      <c r="B160" t="b">
        <v>0</v>
      </c>
      <c r="C160" s="14" t="str" cm="1">
        <f t="array" ref="C160">IF(B160=TRUE,NowStatic(),"")</f>
        <v/>
      </c>
      <c r="D160" s="7">
        <f>Info!I73</f>
        <v>3</v>
      </c>
      <c r="E160" t="str">
        <f>Info!A73</f>
        <v>dynatrace_http_monitor</v>
      </c>
      <c r="F160" t="str">
        <f>Info!G73</f>
        <v>Environment v1</v>
      </c>
      <c r="G160" s="7">
        <f>Info!J73</f>
        <v>3</v>
      </c>
      <c r="H160" s="13">
        <f>Info!K73</f>
        <v>0</v>
      </c>
      <c r="I160" s="13">
        <f>Info!L73</f>
        <v>0</v>
      </c>
      <c r="J160" s="13">
        <f>Info!M73</f>
        <v>0</v>
      </c>
      <c r="K160" s="13">
        <f>Info!N73</f>
        <v>0</v>
      </c>
      <c r="L160" s="13">
        <f>Info!O73</f>
        <v>0</v>
      </c>
      <c r="M160" s="13" t="str">
        <f>Info!P73</f>
        <v>X</v>
      </c>
      <c r="N160" s="13">
        <f>Info!Q73</f>
        <v>0</v>
      </c>
      <c r="O160" s="13">
        <f>Info!R73</f>
        <v>0</v>
      </c>
      <c r="P160" s="13">
        <f>Info!S73</f>
        <v>0</v>
      </c>
      <c r="Q160" s="13" t="str">
        <f>Info!T73</f>
        <v>X</v>
      </c>
      <c r="R160" s="13">
        <f>Info!U73</f>
        <v>0</v>
      </c>
      <c r="S160" s="13">
        <f>Info!V73</f>
        <v>0</v>
      </c>
      <c r="T160" s="13">
        <f>Info!W73</f>
        <v>0</v>
      </c>
      <c r="U160" s="13" t="str">
        <f>Info!X73</f>
        <v>X</v>
      </c>
      <c r="V160" s="13">
        <f>Info!Y73</f>
        <v>0</v>
      </c>
      <c r="W160" t="str">
        <f>Info!H73</f>
        <v>ExternalSyntheticIntegration</v>
      </c>
      <c r="X160" s="12"/>
    </row>
    <row r="161" spans="2:24" x14ac:dyDescent="0.2">
      <c r="B161" t="b">
        <v>0</v>
      </c>
      <c r="C161" s="14" t="str" cm="1">
        <f t="array" ref="C161">IF(B161=TRUE,NowStatic(),"")</f>
        <v/>
      </c>
      <c r="D161" s="7">
        <f>Info!I85</f>
        <v>3</v>
      </c>
      <c r="E161" t="str">
        <f>Info!A85</f>
        <v>dynatrace_jira_notification</v>
      </c>
      <c r="F161" t="str">
        <f>Info!G85</f>
        <v>Settings 2.0</v>
      </c>
      <c r="G161" s="7">
        <f>Info!J85</f>
        <v>1</v>
      </c>
      <c r="H161" s="13">
        <f>Info!K85</f>
        <v>0</v>
      </c>
      <c r="I161" s="13" t="str">
        <f>Info!L85</f>
        <v>X</v>
      </c>
      <c r="J161" s="13">
        <f>Info!M85</f>
        <v>0</v>
      </c>
      <c r="K161" s="13">
        <f>Info!N85</f>
        <v>0</v>
      </c>
      <c r="L161" s="13">
        <f>Info!O85</f>
        <v>0</v>
      </c>
      <c r="M161" s="13">
        <f>Info!P85</f>
        <v>0</v>
      </c>
      <c r="N161" s="13">
        <f>Info!Q85</f>
        <v>0</v>
      </c>
      <c r="O161" s="13">
        <f>Info!R85</f>
        <v>0</v>
      </c>
      <c r="P161" s="13">
        <f>Info!S85</f>
        <v>0</v>
      </c>
      <c r="Q161" s="13">
        <f>Info!T85</f>
        <v>0</v>
      </c>
      <c r="R161" s="13">
        <f>Info!U85</f>
        <v>0</v>
      </c>
      <c r="S161" s="13">
        <f>Info!V85</f>
        <v>0</v>
      </c>
      <c r="T161" s="13">
        <f>Info!W85</f>
        <v>0</v>
      </c>
      <c r="U161" s="13">
        <f>Info!X85</f>
        <v>0</v>
      </c>
      <c r="V161" s="13">
        <f>Info!Y85</f>
        <v>0</v>
      </c>
      <c r="W161" t="str">
        <f>Info!H85</f>
        <v>settings.read, settings.write</v>
      </c>
      <c r="X161" s="12"/>
    </row>
    <row r="162" spans="2:24" x14ac:dyDescent="0.2">
      <c r="B162" t="b">
        <v>0</v>
      </c>
      <c r="C162" s="14" t="str" cm="1">
        <f t="array" ref="C162">IF(B162=TRUE,NowStatic(),"")</f>
        <v/>
      </c>
      <c r="D162" s="7">
        <f>Info!I114</f>
        <v>3</v>
      </c>
      <c r="E162" t="str">
        <f>Info!A114</f>
        <v>dynatrace_mobile_app_anomalies</v>
      </c>
      <c r="F162" t="str">
        <f>Info!G114</f>
        <v>Settings 2.0</v>
      </c>
      <c r="G162" s="7">
        <f>Info!J114</f>
        <v>1</v>
      </c>
      <c r="H162" s="13">
        <f>Info!K114</f>
        <v>0</v>
      </c>
      <c r="I162" s="13">
        <f>Info!L114</f>
        <v>0</v>
      </c>
      <c r="J162" s="13">
        <f>Info!M114</f>
        <v>0</v>
      </c>
      <c r="K162" s="13">
        <f>Info!N114</f>
        <v>0</v>
      </c>
      <c r="L162" s="13">
        <f>Info!O114</f>
        <v>0</v>
      </c>
      <c r="M162" s="13">
        <f>Info!P114</f>
        <v>0</v>
      </c>
      <c r="N162" s="13" t="str">
        <f>Info!Q114</f>
        <v>X</v>
      </c>
      <c r="O162" s="13">
        <f>Info!R114</f>
        <v>0</v>
      </c>
      <c r="P162" s="13">
        <f>Info!S114</f>
        <v>0</v>
      </c>
      <c r="Q162" s="13">
        <f>Info!T114</f>
        <v>0</v>
      </c>
      <c r="R162" s="13">
        <f>Info!U114</f>
        <v>0</v>
      </c>
      <c r="S162" s="13">
        <f>Info!V114</f>
        <v>0</v>
      </c>
      <c r="T162" s="13">
        <f>Info!W114</f>
        <v>0</v>
      </c>
      <c r="U162" s="13">
        <f>Info!X114</f>
        <v>0</v>
      </c>
      <c r="V162" s="13">
        <f>Info!Y114</f>
        <v>0</v>
      </c>
      <c r="W162" t="str">
        <f>Info!H114</f>
        <v>settings.read, settings.write</v>
      </c>
      <c r="X162" s="12"/>
    </row>
    <row r="163" spans="2:24" x14ac:dyDescent="0.2">
      <c r="B163" t="b">
        <v>0</v>
      </c>
      <c r="C163" s="14" t="str" cm="1">
        <f t="array" ref="C163">IF(B163=TRUE,NowStatic(),"")</f>
        <v/>
      </c>
      <c r="D163" s="7">
        <f>Info!I115</f>
        <v>3</v>
      </c>
      <c r="E163" t="str">
        <f>Info!A115</f>
        <v>dynatrace_mobile_app_crash_rate</v>
      </c>
      <c r="F163" t="str">
        <f>Info!G115</f>
        <v>Settings 2.0</v>
      </c>
      <c r="G163" s="7">
        <f>Info!J115</f>
        <v>1</v>
      </c>
      <c r="H163" s="13">
        <f>Info!K115</f>
        <v>0</v>
      </c>
      <c r="I163" s="13">
        <f>Info!L115</f>
        <v>0</v>
      </c>
      <c r="J163" s="13">
        <f>Info!M115</f>
        <v>0</v>
      </c>
      <c r="K163" s="13">
        <f>Info!N115</f>
        <v>0</v>
      </c>
      <c r="L163" s="13">
        <f>Info!O115</f>
        <v>0</v>
      </c>
      <c r="M163" s="13">
        <f>Info!P115</f>
        <v>0</v>
      </c>
      <c r="N163" s="13" t="str">
        <f>Info!Q115</f>
        <v>X</v>
      </c>
      <c r="O163" s="13">
        <f>Info!R115</f>
        <v>0</v>
      </c>
      <c r="P163" s="13">
        <f>Info!S115</f>
        <v>0</v>
      </c>
      <c r="Q163" s="13">
        <f>Info!T115</f>
        <v>0</v>
      </c>
      <c r="R163" s="13">
        <f>Info!U115</f>
        <v>0</v>
      </c>
      <c r="S163" s="13">
        <f>Info!V115</f>
        <v>0</v>
      </c>
      <c r="T163" s="13">
        <f>Info!W115</f>
        <v>0</v>
      </c>
      <c r="U163" s="13">
        <f>Info!X115</f>
        <v>0</v>
      </c>
      <c r="V163" s="13">
        <f>Info!Y115</f>
        <v>0</v>
      </c>
      <c r="W163" t="str">
        <f>Info!H115</f>
        <v>settings.read, settings.write</v>
      </c>
      <c r="X163" s="12"/>
    </row>
    <row r="164" spans="2:24" x14ac:dyDescent="0.2">
      <c r="B164" t="b">
        <v>0</v>
      </c>
      <c r="C164" s="14" t="str" cm="1">
        <f t="array" ref="C164">IF(B164=TRUE,NowStatic(),"")</f>
        <v/>
      </c>
      <c r="D164" s="7">
        <f>Info!I116</f>
        <v>3</v>
      </c>
      <c r="E164" t="str">
        <f>Info!A116</f>
        <v>dynatrace_mobile_app_enablement</v>
      </c>
      <c r="F164" t="str">
        <f>Info!G116</f>
        <v>Settings 2.0</v>
      </c>
      <c r="G164" s="7">
        <f>Info!J116</f>
        <v>1</v>
      </c>
      <c r="H164" s="13">
        <f>Info!K116</f>
        <v>0</v>
      </c>
      <c r="I164" s="13">
        <f>Info!L116</f>
        <v>0</v>
      </c>
      <c r="J164" s="13">
        <f>Info!M116</f>
        <v>0</v>
      </c>
      <c r="K164" s="13">
        <f>Info!N116</f>
        <v>0</v>
      </c>
      <c r="L164" s="13">
        <f>Info!O116</f>
        <v>0</v>
      </c>
      <c r="M164" s="13">
        <f>Info!P116</f>
        <v>0</v>
      </c>
      <c r="N164" s="13" t="str">
        <f>Info!Q116</f>
        <v>X</v>
      </c>
      <c r="O164" s="13">
        <f>Info!R116</f>
        <v>0</v>
      </c>
      <c r="P164" s="13">
        <f>Info!S116</f>
        <v>0</v>
      </c>
      <c r="Q164" s="13">
        <f>Info!T116</f>
        <v>0</v>
      </c>
      <c r="R164" s="13">
        <f>Info!U116</f>
        <v>0</v>
      </c>
      <c r="S164" s="13">
        <f>Info!V116</f>
        <v>0</v>
      </c>
      <c r="T164" s="13">
        <f>Info!W116</f>
        <v>0</v>
      </c>
      <c r="U164" s="13">
        <f>Info!X116</f>
        <v>0</v>
      </c>
      <c r="V164" s="13">
        <f>Info!Y116</f>
        <v>0</v>
      </c>
      <c r="W164" t="str">
        <f>Info!H116</f>
        <v>settings.read, settings.write</v>
      </c>
      <c r="X164" s="12"/>
    </row>
    <row r="165" spans="2:24" x14ac:dyDescent="0.2">
      <c r="B165" t="b">
        <v>0</v>
      </c>
      <c r="C165" s="14" t="str" cm="1">
        <f t="array" ref="C165">IF(B165=TRUE,NowStatic(),"")</f>
        <v/>
      </c>
      <c r="D165" s="7">
        <f>Info!I140</f>
        <v>3</v>
      </c>
      <c r="E165" t="str">
        <f>Info!A140</f>
        <v>dynatrace_ops_genie_notification</v>
      </c>
      <c r="F165" t="str">
        <f>Info!G140</f>
        <v>Settings 2.0</v>
      </c>
      <c r="G165" s="7">
        <f>Info!J140</f>
        <v>1</v>
      </c>
      <c r="H165" s="13">
        <f>Info!K140</f>
        <v>0</v>
      </c>
      <c r="I165" s="13" t="str">
        <f>Info!L140</f>
        <v>X</v>
      </c>
      <c r="J165" s="13">
        <f>Info!M140</f>
        <v>0</v>
      </c>
      <c r="K165" s="13">
        <f>Info!N140</f>
        <v>0</v>
      </c>
      <c r="L165" s="13">
        <f>Info!O140</f>
        <v>0</v>
      </c>
      <c r="M165" s="13">
        <f>Info!P140</f>
        <v>0</v>
      </c>
      <c r="N165" s="13">
        <f>Info!Q140</f>
        <v>0</v>
      </c>
      <c r="O165" s="13">
        <f>Info!R140</f>
        <v>0</v>
      </c>
      <c r="P165" s="13">
        <f>Info!S140</f>
        <v>0</v>
      </c>
      <c r="Q165" s="13">
        <f>Info!T140</f>
        <v>0</v>
      </c>
      <c r="R165" s="13">
        <f>Info!U140</f>
        <v>0</v>
      </c>
      <c r="S165" s="13">
        <f>Info!V140</f>
        <v>0</v>
      </c>
      <c r="T165" s="13">
        <f>Info!W140</f>
        <v>0</v>
      </c>
      <c r="U165" s="13">
        <f>Info!X140</f>
        <v>0</v>
      </c>
      <c r="V165" s="13">
        <f>Info!Y140</f>
        <v>0</v>
      </c>
      <c r="W165" t="str">
        <f>Info!H140</f>
        <v>settings.read, settings.write</v>
      </c>
      <c r="X165" s="12"/>
    </row>
    <row r="166" spans="2:24" x14ac:dyDescent="0.2">
      <c r="B166" t="b">
        <v>0</v>
      </c>
      <c r="C166" s="14" t="str" cm="1">
        <f t="array" ref="C166">IF(B166=TRUE,NowStatic(),"")</f>
        <v/>
      </c>
      <c r="D166" s="7">
        <f>Info!I144</f>
        <v>3</v>
      </c>
      <c r="E166" t="str">
        <f>Info!A144</f>
        <v>dynatrace_pager_duty_notification</v>
      </c>
      <c r="F166" t="str">
        <f>Info!G144</f>
        <v>Settings 2.0</v>
      </c>
      <c r="G166" s="7">
        <f>Info!J144</f>
        <v>1</v>
      </c>
      <c r="H166" s="13">
        <f>Info!K144</f>
        <v>0</v>
      </c>
      <c r="I166" s="13" t="str">
        <f>Info!L144</f>
        <v>X</v>
      </c>
      <c r="J166" s="13">
        <f>Info!M144</f>
        <v>0</v>
      </c>
      <c r="K166" s="13">
        <f>Info!N144</f>
        <v>0</v>
      </c>
      <c r="L166" s="13">
        <f>Info!O144</f>
        <v>0</v>
      </c>
      <c r="M166" s="13">
        <f>Info!P144</f>
        <v>0</v>
      </c>
      <c r="N166" s="13">
        <f>Info!Q144</f>
        <v>0</v>
      </c>
      <c r="O166" s="13">
        <f>Info!R144</f>
        <v>0</v>
      </c>
      <c r="P166" s="13">
        <f>Info!S144</f>
        <v>0</v>
      </c>
      <c r="Q166" s="13">
        <f>Info!T144</f>
        <v>0</v>
      </c>
      <c r="R166" s="13">
        <f>Info!U144</f>
        <v>0</v>
      </c>
      <c r="S166" s="13">
        <f>Info!V144</f>
        <v>0</v>
      </c>
      <c r="T166" s="13">
        <f>Info!W144</f>
        <v>0</v>
      </c>
      <c r="U166" s="13">
        <f>Info!X144</f>
        <v>0</v>
      </c>
      <c r="V166" s="13">
        <f>Info!Y144</f>
        <v>0</v>
      </c>
      <c r="W166" t="str">
        <f>Info!H144</f>
        <v>settings.read, settings.write</v>
      </c>
      <c r="X166" s="12"/>
    </row>
    <row r="167" spans="2:24" x14ac:dyDescent="0.2">
      <c r="B167" t="b">
        <v>0</v>
      </c>
      <c r="C167" s="14" t="str" cm="1">
        <f t="array" ref="C167">IF(B167=TRUE,NowStatic(),"")</f>
        <v/>
      </c>
      <c r="D167" s="7">
        <f>Info!I162</f>
        <v>3</v>
      </c>
      <c r="E167" t="str">
        <f>Info!A162</f>
        <v>dynatrace_request_namings</v>
      </c>
      <c r="F167" t="str">
        <f>Info!G162</f>
        <v>Config</v>
      </c>
      <c r="G167" s="7">
        <f>Info!J162</f>
        <v>1</v>
      </c>
      <c r="H167" s="13">
        <f>Info!K162</f>
        <v>0</v>
      </c>
      <c r="I167" s="13">
        <f>Info!L162</f>
        <v>0</v>
      </c>
      <c r="J167" s="13">
        <f>Info!M162</f>
        <v>0</v>
      </c>
      <c r="K167" s="13">
        <f>Info!N162</f>
        <v>0</v>
      </c>
      <c r="L167" s="13">
        <f>Info!O162</f>
        <v>0</v>
      </c>
      <c r="M167" s="13">
        <f>Info!P162</f>
        <v>0</v>
      </c>
      <c r="N167" s="13">
        <f>Info!Q162</f>
        <v>0</v>
      </c>
      <c r="O167" s="13">
        <f>Info!R162</f>
        <v>0</v>
      </c>
      <c r="P167" s="13">
        <f>Info!S162</f>
        <v>0</v>
      </c>
      <c r="Q167" s="13">
        <f>Info!T162</f>
        <v>0</v>
      </c>
      <c r="R167" s="13">
        <f>Info!U162</f>
        <v>0</v>
      </c>
      <c r="S167" s="13">
        <f>Info!V162</f>
        <v>0</v>
      </c>
      <c r="T167" s="13" t="str">
        <f>Info!W162</f>
        <v>X</v>
      </c>
      <c r="U167" s="13">
        <f>Info!X162</f>
        <v>0</v>
      </c>
      <c r="V167" s="13">
        <f>Info!Y162</f>
        <v>0</v>
      </c>
      <c r="W167" t="str">
        <f>Info!H162</f>
        <v>ReadConfig, WriteConfig</v>
      </c>
      <c r="X167" s="12"/>
    </row>
    <row r="168" spans="2:24" x14ac:dyDescent="0.2">
      <c r="B168" t="b">
        <v>0</v>
      </c>
      <c r="C168" s="14" t="str" cm="1">
        <f t="array" ref="C168">IF(B168=TRUE,NowStatic(),"")</f>
        <v/>
      </c>
      <c r="D168" s="7">
        <f>Info!I179</f>
        <v>3</v>
      </c>
      <c r="E168" t="str">
        <f>Info!A179</f>
        <v>dynatrace_service_now_notification</v>
      </c>
      <c r="F168" t="str">
        <f>Info!G179</f>
        <v>Settings 2.0</v>
      </c>
      <c r="G168" s="7">
        <f>Info!J179</f>
        <v>1</v>
      </c>
      <c r="H168" s="13">
        <f>Info!K179</f>
        <v>0</v>
      </c>
      <c r="I168" s="13" t="str">
        <f>Info!L179</f>
        <v>X</v>
      </c>
      <c r="J168" s="13">
        <f>Info!M179</f>
        <v>0</v>
      </c>
      <c r="K168" s="13">
        <f>Info!N179</f>
        <v>0</v>
      </c>
      <c r="L168" s="13">
        <f>Info!O179</f>
        <v>0</v>
      </c>
      <c r="M168" s="13">
        <f>Info!P179</f>
        <v>0</v>
      </c>
      <c r="N168" s="13">
        <f>Info!Q179</f>
        <v>0</v>
      </c>
      <c r="O168" s="13">
        <f>Info!R179</f>
        <v>0</v>
      </c>
      <c r="P168" s="13">
        <f>Info!S179</f>
        <v>0</v>
      </c>
      <c r="Q168" s="13">
        <f>Info!T179</f>
        <v>0</v>
      </c>
      <c r="R168" s="13">
        <f>Info!U179</f>
        <v>0</v>
      </c>
      <c r="S168" s="13">
        <f>Info!V179</f>
        <v>0</v>
      </c>
      <c r="T168" s="13">
        <f>Info!W179</f>
        <v>0</v>
      </c>
      <c r="U168" s="13">
        <f>Info!X179</f>
        <v>0</v>
      </c>
      <c r="V168" s="13">
        <f>Info!Y179</f>
        <v>0</v>
      </c>
      <c r="W168" t="str">
        <f>Info!H179</f>
        <v>settings.read, settings.write</v>
      </c>
      <c r="X168" s="12"/>
    </row>
    <row r="169" spans="2:24" x14ac:dyDescent="0.2">
      <c r="B169" t="b">
        <v>0</v>
      </c>
      <c r="C169" s="14" t="str" cm="1">
        <f t="array" ref="C169">IF(B169=TRUE,NowStatic(),"")</f>
        <v/>
      </c>
      <c r="D169" s="7">
        <f>Info!I180</f>
        <v>3</v>
      </c>
      <c r="E169" t="str">
        <f>Info!A180</f>
        <v>dynatrace_session_replay_resource_capture</v>
      </c>
      <c r="F169" t="str">
        <f>Info!G180</f>
        <v>Settings 2.0</v>
      </c>
      <c r="G169" s="7">
        <f>Info!J180</f>
        <v>1</v>
      </c>
      <c r="H169" s="13">
        <f>Info!K180</f>
        <v>0</v>
      </c>
      <c r="I169" s="13">
        <f>Info!L180</f>
        <v>0</v>
      </c>
      <c r="J169" s="13">
        <f>Info!M180</f>
        <v>0</v>
      </c>
      <c r="K169" s="13">
        <f>Info!N180</f>
        <v>0</v>
      </c>
      <c r="L169" s="13">
        <f>Info!O180</f>
        <v>0</v>
      </c>
      <c r="M169" s="13" t="str">
        <f>Info!P180</f>
        <v>X</v>
      </c>
      <c r="N169" s="13">
        <f>Info!Q180</f>
        <v>0</v>
      </c>
      <c r="O169" s="13">
        <f>Info!R180</f>
        <v>0</v>
      </c>
      <c r="P169" s="13">
        <f>Info!S180</f>
        <v>0</v>
      </c>
      <c r="Q169" s="13">
        <f>Info!T180</f>
        <v>0</v>
      </c>
      <c r="R169" s="13">
        <f>Info!U180</f>
        <v>0</v>
      </c>
      <c r="S169" s="13">
        <f>Info!V180</f>
        <v>0</v>
      </c>
      <c r="T169" s="13">
        <f>Info!W180</f>
        <v>0</v>
      </c>
      <c r="U169" s="13">
        <f>Info!X180</f>
        <v>0</v>
      </c>
      <c r="V169" s="13">
        <f>Info!Y180</f>
        <v>0</v>
      </c>
      <c r="W169" t="str">
        <f>Info!H180</f>
        <v>settings.read, settings.write</v>
      </c>
      <c r="X169" s="12"/>
    </row>
    <row r="170" spans="2:24" x14ac:dyDescent="0.2">
      <c r="B170" t="b">
        <v>0</v>
      </c>
      <c r="C170" s="14" t="str" cm="1">
        <f t="array" ref="C170">IF(B170=TRUE,NowStatic(),"")</f>
        <v/>
      </c>
      <c r="D170" s="7">
        <f>Info!I181</f>
        <v>3</v>
      </c>
      <c r="E170" t="str">
        <f>Info!A181</f>
        <v>dynatrace_session_replay_web_privacy</v>
      </c>
      <c r="F170" t="str">
        <f>Info!G181</f>
        <v>Settings 2.0</v>
      </c>
      <c r="G170" s="7">
        <f>Info!J181</f>
        <v>1</v>
      </c>
      <c r="H170" s="13">
        <f>Info!K181</f>
        <v>0</v>
      </c>
      <c r="I170" s="13">
        <f>Info!L181</f>
        <v>0</v>
      </c>
      <c r="J170" s="13">
        <f>Info!M181</f>
        <v>0</v>
      </c>
      <c r="K170" s="13">
        <f>Info!N181</f>
        <v>0</v>
      </c>
      <c r="L170" s="13">
        <f>Info!O181</f>
        <v>0</v>
      </c>
      <c r="M170" s="13" t="str">
        <f>Info!P181</f>
        <v>X</v>
      </c>
      <c r="N170" s="13">
        <f>Info!Q181</f>
        <v>0</v>
      </c>
      <c r="O170" s="13">
        <f>Info!R181</f>
        <v>0</v>
      </c>
      <c r="P170" s="13">
        <f>Info!S181</f>
        <v>0</v>
      </c>
      <c r="Q170" s="13">
        <f>Info!T181</f>
        <v>0</v>
      </c>
      <c r="R170" s="13">
        <f>Info!U181</f>
        <v>0</v>
      </c>
      <c r="S170" s="13">
        <f>Info!V181</f>
        <v>0</v>
      </c>
      <c r="T170" s="13">
        <f>Info!W181</f>
        <v>0</v>
      </c>
      <c r="U170" s="13">
        <f>Info!X181</f>
        <v>0</v>
      </c>
      <c r="V170" s="13">
        <f>Info!Y181</f>
        <v>0</v>
      </c>
      <c r="W170" t="str">
        <f>Info!H181</f>
        <v>settings.read, settings.write</v>
      </c>
      <c r="X170" s="12"/>
    </row>
    <row r="171" spans="2:24" x14ac:dyDescent="0.2">
      <c r="B171" t="b">
        <v>0</v>
      </c>
      <c r="C171" s="14" t="str" cm="1">
        <f t="array" ref="C171">IF(B171=TRUE,NowStatic(),"")</f>
        <v/>
      </c>
      <c r="D171" s="7">
        <f>Info!I182</f>
        <v>3</v>
      </c>
      <c r="E171" t="str">
        <f>Info!A182</f>
        <v>dynatrace_slack_notification</v>
      </c>
      <c r="F171" t="str">
        <f>Info!G182</f>
        <v>Settings 2.0</v>
      </c>
      <c r="G171" s="7">
        <f>Info!J182</f>
        <v>1</v>
      </c>
      <c r="H171" s="13">
        <f>Info!K182</f>
        <v>0</v>
      </c>
      <c r="I171" s="13" t="str">
        <f>Info!L182</f>
        <v>X</v>
      </c>
      <c r="J171" s="13">
        <f>Info!M182</f>
        <v>0</v>
      </c>
      <c r="K171" s="13">
        <f>Info!N182</f>
        <v>0</v>
      </c>
      <c r="L171" s="13">
        <f>Info!O182</f>
        <v>0</v>
      </c>
      <c r="M171" s="13">
        <f>Info!P182</f>
        <v>0</v>
      </c>
      <c r="N171" s="13">
        <f>Info!Q182</f>
        <v>0</v>
      </c>
      <c r="O171" s="13">
        <f>Info!R182</f>
        <v>0</v>
      </c>
      <c r="P171" s="13">
        <f>Info!S182</f>
        <v>0</v>
      </c>
      <c r="Q171" s="13">
        <f>Info!T182</f>
        <v>0</v>
      </c>
      <c r="R171" s="13">
        <f>Info!U182</f>
        <v>0</v>
      </c>
      <c r="S171" s="13">
        <f>Info!V182</f>
        <v>0</v>
      </c>
      <c r="T171" s="13">
        <f>Info!W182</f>
        <v>0</v>
      </c>
      <c r="U171" s="13">
        <f>Info!X182</f>
        <v>0</v>
      </c>
      <c r="V171" s="13">
        <f>Info!Y182</f>
        <v>0</v>
      </c>
      <c r="W171" t="str">
        <f>Info!H182</f>
        <v>settings.read, settings.write</v>
      </c>
      <c r="X171" s="12"/>
    </row>
    <row r="172" spans="2:24" x14ac:dyDescent="0.2">
      <c r="B172" t="b">
        <v>0</v>
      </c>
      <c r="C172" s="14" t="str" cm="1">
        <f t="array" ref="C172">IF(B172=TRUE,NowStatic(),"")</f>
        <v/>
      </c>
      <c r="D172" s="7">
        <f>Info!I185</f>
        <v>3</v>
      </c>
      <c r="E172" t="str">
        <f>Info!A185</f>
        <v>dynatrace_slo_v2</v>
      </c>
      <c r="F172" t="str">
        <f>Info!G185</f>
        <v>Settings 2.0</v>
      </c>
      <c r="G172" s="7">
        <f>Info!J185</f>
        <v>2</v>
      </c>
      <c r="H172" s="13" t="str">
        <f>Info!K185</f>
        <v>X</v>
      </c>
      <c r="I172" s="13">
        <f>Info!L185</f>
        <v>0</v>
      </c>
      <c r="J172" s="13">
        <f>Info!M185</f>
        <v>0</v>
      </c>
      <c r="K172" s="13" t="str">
        <f>Info!N185</f>
        <v>X</v>
      </c>
      <c r="L172" s="13">
        <f>Info!O185</f>
        <v>0</v>
      </c>
      <c r="M172" s="13">
        <f>Info!P185</f>
        <v>0</v>
      </c>
      <c r="N172" s="13">
        <f>Info!Q185</f>
        <v>0</v>
      </c>
      <c r="O172" s="13">
        <f>Info!R185</f>
        <v>0</v>
      </c>
      <c r="P172" s="13">
        <f>Info!S185</f>
        <v>0</v>
      </c>
      <c r="Q172" s="13">
        <f>Info!T185</f>
        <v>0</v>
      </c>
      <c r="R172" s="13">
        <f>Info!U185</f>
        <v>0</v>
      </c>
      <c r="S172" s="13">
        <f>Info!V185</f>
        <v>0</v>
      </c>
      <c r="T172" s="13">
        <f>Info!W185</f>
        <v>0</v>
      </c>
      <c r="U172" s="13">
        <f>Info!X185</f>
        <v>0</v>
      </c>
      <c r="V172" s="13">
        <f>Info!Y185</f>
        <v>0</v>
      </c>
      <c r="W172" t="str">
        <f>Info!H185</f>
        <v>settings.read, settings.write</v>
      </c>
      <c r="X172" s="12"/>
    </row>
    <row r="173" spans="2:24" x14ac:dyDescent="0.2">
      <c r="B173" t="b">
        <v>0</v>
      </c>
      <c r="C173" s="14" t="str" cm="1">
        <f t="array" ref="C173">IF(B173=TRUE,NowStatic(),"")</f>
        <v/>
      </c>
      <c r="D173" s="7">
        <f>Info!I194</f>
        <v>3</v>
      </c>
      <c r="E173" t="str">
        <f>Info!A194</f>
        <v>dynatrace_trello_notification</v>
      </c>
      <c r="F173" t="str">
        <f>Info!G194</f>
        <v>Settings 2.0</v>
      </c>
      <c r="G173" s="7">
        <f>Info!J194</f>
        <v>1</v>
      </c>
      <c r="H173" s="13">
        <f>Info!K194</f>
        <v>0</v>
      </c>
      <c r="I173" s="13" t="str">
        <f>Info!L194</f>
        <v>X</v>
      </c>
      <c r="J173" s="13">
        <f>Info!M194</f>
        <v>0</v>
      </c>
      <c r="K173" s="13">
        <f>Info!N194</f>
        <v>0</v>
      </c>
      <c r="L173" s="13">
        <f>Info!O194</f>
        <v>0</v>
      </c>
      <c r="M173" s="13">
        <f>Info!P194</f>
        <v>0</v>
      </c>
      <c r="N173" s="13">
        <f>Info!Q194</f>
        <v>0</v>
      </c>
      <c r="O173" s="13">
        <f>Info!R194</f>
        <v>0</v>
      </c>
      <c r="P173" s="13">
        <f>Info!S194</f>
        <v>0</v>
      </c>
      <c r="Q173" s="13">
        <f>Info!T194</f>
        <v>0</v>
      </c>
      <c r="R173" s="13">
        <f>Info!U194</f>
        <v>0</v>
      </c>
      <c r="S173" s="13">
        <f>Info!V194</f>
        <v>0</v>
      </c>
      <c r="T173" s="13">
        <f>Info!W194</f>
        <v>0</v>
      </c>
      <c r="U173" s="13">
        <f>Info!X194</f>
        <v>0</v>
      </c>
      <c r="V173" s="13">
        <f>Info!Y194</f>
        <v>0</v>
      </c>
      <c r="W173" t="str">
        <f>Info!H194</f>
        <v>settings.read, settings.write</v>
      </c>
      <c r="X173" s="12"/>
    </row>
    <row r="174" spans="2:24" x14ac:dyDescent="0.2">
      <c r="B174" t="b">
        <v>0</v>
      </c>
      <c r="C174" s="14" t="str" cm="1">
        <f t="array" ref="C174">IF(B174=TRUE,NowStatic(),"")</f>
        <v/>
      </c>
      <c r="D174" s="7">
        <f>Info!I196</f>
        <v>3</v>
      </c>
      <c r="E174" t="str">
        <f>Info!A196</f>
        <v>dynatrace_usability_analytics</v>
      </c>
      <c r="F174" t="str">
        <f>Info!G196</f>
        <v>Settings 2.0</v>
      </c>
      <c r="G174" s="7">
        <f>Info!J196</f>
        <v>1</v>
      </c>
      <c r="H174" s="13">
        <f>Info!K196</f>
        <v>0</v>
      </c>
      <c r="I174" s="13">
        <f>Info!L196</f>
        <v>0</v>
      </c>
      <c r="J174" s="13">
        <f>Info!M196</f>
        <v>0</v>
      </c>
      <c r="K174" s="13">
        <f>Info!N196</f>
        <v>0</v>
      </c>
      <c r="L174" s="13">
        <f>Info!O196</f>
        <v>0</v>
      </c>
      <c r="M174" s="13" t="str">
        <f>Info!P196</f>
        <v>X</v>
      </c>
      <c r="N174" s="13">
        <f>Info!Q196</f>
        <v>0</v>
      </c>
      <c r="O174" s="13">
        <f>Info!R196</f>
        <v>0</v>
      </c>
      <c r="P174" s="13">
        <f>Info!S196</f>
        <v>0</v>
      </c>
      <c r="Q174" s="13">
        <f>Info!T196</f>
        <v>0</v>
      </c>
      <c r="R174" s="13">
        <f>Info!U196</f>
        <v>0</v>
      </c>
      <c r="S174" s="13">
        <f>Info!V196</f>
        <v>0</v>
      </c>
      <c r="T174" s="13">
        <f>Info!W196</f>
        <v>0</v>
      </c>
      <c r="U174" s="13">
        <f>Info!X196</f>
        <v>0</v>
      </c>
      <c r="V174" s="13">
        <f>Info!Y196</f>
        <v>0</v>
      </c>
      <c r="W174" t="str">
        <f>Info!H196</f>
        <v>settings.read, settings.write</v>
      </c>
      <c r="X174" s="12"/>
    </row>
    <row r="175" spans="2:24" x14ac:dyDescent="0.2">
      <c r="B175" t="b">
        <v>0</v>
      </c>
      <c r="C175" s="14" t="str" cm="1">
        <f t="array" ref="C175">IF(B175=TRUE,NowStatic(),"")</f>
        <v/>
      </c>
      <c r="D175" s="7">
        <f>Info!I201</f>
        <v>3</v>
      </c>
      <c r="E175" t="str">
        <f>Info!A201</f>
        <v>dynatrace_victor_ops_notification</v>
      </c>
      <c r="F175" t="str">
        <f>Info!G201</f>
        <v>Settings 2.0</v>
      </c>
      <c r="G175" s="7">
        <f>Info!J201</f>
        <v>1</v>
      </c>
      <c r="H175" s="13">
        <f>Info!K201</f>
        <v>0</v>
      </c>
      <c r="I175" s="13" t="str">
        <f>Info!L201</f>
        <v>X</v>
      </c>
      <c r="J175" s="13">
        <f>Info!M201</f>
        <v>0</v>
      </c>
      <c r="K175" s="13">
        <f>Info!N201</f>
        <v>0</v>
      </c>
      <c r="L175" s="13">
        <f>Info!O201</f>
        <v>0</v>
      </c>
      <c r="M175" s="13">
        <f>Info!P201</f>
        <v>0</v>
      </c>
      <c r="N175" s="13">
        <f>Info!Q201</f>
        <v>0</v>
      </c>
      <c r="O175" s="13">
        <f>Info!R201</f>
        <v>0</v>
      </c>
      <c r="P175" s="13">
        <f>Info!S201</f>
        <v>0</v>
      </c>
      <c r="Q175" s="13">
        <f>Info!T201</f>
        <v>0</v>
      </c>
      <c r="R175" s="13">
        <f>Info!U201</f>
        <v>0</v>
      </c>
      <c r="S175" s="13">
        <f>Info!V201</f>
        <v>0</v>
      </c>
      <c r="T175" s="13">
        <f>Info!W201</f>
        <v>0</v>
      </c>
      <c r="U175" s="13">
        <f>Info!X201</f>
        <v>0</v>
      </c>
      <c r="V175" s="13">
        <f>Info!Y201</f>
        <v>0</v>
      </c>
      <c r="W175" t="str">
        <f>Info!H201</f>
        <v>settings.read, settings.write</v>
      </c>
      <c r="X175" s="12"/>
    </row>
    <row r="176" spans="2:24" x14ac:dyDescent="0.2">
      <c r="B176" t="b">
        <v>0</v>
      </c>
      <c r="C176" s="14" t="str" cm="1">
        <f t="array" ref="C176">IF(B176=TRUE,NowStatic(),"")</f>
        <v/>
      </c>
      <c r="D176" s="7">
        <f>Info!I203</f>
        <v>3</v>
      </c>
      <c r="E176" t="str">
        <f>Info!A203</f>
        <v>dynatrace_web_app_anomalies</v>
      </c>
      <c r="F176" t="str">
        <f>Info!G203</f>
        <v>Settings 2.0</v>
      </c>
      <c r="G176" s="7">
        <f>Info!J203</f>
        <v>1</v>
      </c>
      <c r="H176" s="13">
        <f>Info!K203</f>
        <v>0</v>
      </c>
      <c r="I176" s="13">
        <f>Info!L203</f>
        <v>0</v>
      </c>
      <c r="J176" s="13">
        <f>Info!M203</f>
        <v>0</v>
      </c>
      <c r="K176" s="13">
        <f>Info!N203</f>
        <v>0</v>
      </c>
      <c r="L176" s="13">
        <f>Info!O203</f>
        <v>0</v>
      </c>
      <c r="M176" s="13" t="str">
        <f>Info!P203</f>
        <v>X</v>
      </c>
      <c r="N176" s="13">
        <f>Info!Q203</f>
        <v>0</v>
      </c>
      <c r="O176" s="13">
        <f>Info!R203</f>
        <v>0</v>
      </c>
      <c r="P176" s="13">
        <f>Info!S203</f>
        <v>0</v>
      </c>
      <c r="Q176" s="13">
        <f>Info!T203</f>
        <v>0</v>
      </c>
      <c r="R176" s="13">
        <f>Info!U203</f>
        <v>0</v>
      </c>
      <c r="S176" s="13">
        <f>Info!V203</f>
        <v>0</v>
      </c>
      <c r="T176" s="13">
        <f>Info!W203</f>
        <v>0</v>
      </c>
      <c r="U176" s="13">
        <f>Info!X203</f>
        <v>0</v>
      </c>
      <c r="V176" s="13">
        <f>Info!Y203</f>
        <v>0</v>
      </c>
      <c r="W176" t="str">
        <f>Info!H203</f>
        <v>settings.read, settings.write</v>
      </c>
      <c r="X176" s="12"/>
    </row>
    <row r="177" spans="2:24" x14ac:dyDescent="0.2">
      <c r="B177" t="b">
        <v>0</v>
      </c>
      <c r="C177" s="14" t="str" cm="1">
        <f t="array" ref="C177">IF(B177=TRUE,NowStatic(),"")</f>
        <v/>
      </c>
      <c r="D177" s="7">
        <f>Info!I206</f>
        <v>3</v>
      </c>
      <c r="E177" t="str">
        <f>Info!A206</f>
        <v>dynatrace_web_app_enablement</v>
      </c>
      <c r="F177" t="str">
        <f>Info!G206</f>
        <v>Settings 2.0</v>
      </c>
      <c r="G177" s="7">
        <f>Info!J206</f>
        <v>1</v>
      </c>
      <c r="H177" s="13">
        <f>Info!K206</f>
        <v>0</v>
      </c>
      <c r="I177" s="13">
        <f>Info!L206</f>
        <v>0</v>
      </c>
      <c r="J177" s="13">
        <f>Info!M206</f>
        <v>0</v>
      </c>
      <c r="K177" s="13">
        <f>Info!N206</f>
        <v>0</v>
      </c>
      <c r="L177" s="13">
        <f>Info!O206</f>
        <v>0</v>
      </c>
      <c r="M177" s="13" t="str">
        <f>Info!P206</f>
        <v>X</v>
      </c>
      <c r="N177" s="13">
        <f>Info!Q206</f>
        <v>0</v>
      </c>
      <c r="O177" s="13">
        <f>Info!R206</f>
        <v>0</v>
      </c>
      <c r="P177" s="13">
        <f>Info!S206</f>
        <v>0</v>
      </c>
      <c r="Q177" s="13">
        <f>Info!T206</f>
        <v>0</v>
      </c>
      <c r="R177" s="13">
        <f>Info!U206</f>
        <v>0</v>
      </c>
      <c r="S177" s="13">
        <f>Info!V206</f>
        <v>0</v>
      </c>
      <c r="T177" s="13">
        <f>Info!W206</f>
        <v>0</v>
      </c>
      <c r="U177" s="13">
        <f>Info!X206</f>
        <v>0</v>
      </c>
      <c r="V177" s="13">
        <f>Info!Y206</f>
        <v>0</v>
      </c>
      <c r="W177" t="str">
        <f>Info!H206</f>
        <v>settings.read, settings.write</v>
      </c>
      <c r="X177" s="12"/>
    </row>
    <row r="178" spans="2:24" x14ac:dyDescent="0.2">
      <c r="B178" t="b">
        <v>0</v>
      </c>
      <c r="C178" s="14" t="str" cm="1">
        <f t="array" ref="C178">IF(B178=TRUE,NowStatic(),"")</f>
        <v/>
      </c>
      <c r="D178" s="7">
        <f>Info!I207</f>
        <v>3</v>
      </c>
      <c r="E178" t="str">
        <f>Info!A207</f>
        <v>dynatrace_web_app_javascript_updates</v>
      </c>
      <c r="F178" t="str">
        <f>Info!G207</f>
        <v>Settings 2.0</v>
      </c>
      <c r="G178" s="7">
        <f>Info!J207</f>
        <v>1</v>
      </c>
      <c r="H178" s="13">
        <f>Info!K207</f>
        <v>0</v>
      </c>
      <c r="I178" s="13">
        <f>Info!L207</f>
        <v>0</v>
      </c>
      <c r="J178" s="13">
        <f>Info!M207</f>
        <v>0</v>
      </c>
      <c r="K178" s="13">
        <f>Info!N207</f>
        <v>0</v>
      </c>
      <c r="L178" s="13">
        <f>Info!O207</f>
        <v>0</v>
      </c>
      <c r="M178" s="13" t="str">
        <f>Info!P207</f>
        <v>X</v>
      </c>
      <c r="N178" s="13">
        <f>Info!Q207</f>
        <v>0</v>
      </c>
      <c r="O178" s="13">
        <f>Info!R207</f>
        <v>0</v>
      </c>
      <c r="P178" s="13">
        <f>Info!S207</f>
        <v>0</v>
      </c>
      <c r="Q178" s="13">
        <f>Info!T207</f>
        <v>0</v>
      </c>
      <c r="R178" s="13">
        <f>Info!U207</f>
        <v>0</v>
      </c>
      <c r="S178" s="13">
        <f>Info!V207</f>
        <v>0</v>
      </c>
      <c r="T178" s="13">
        <f>Info!W207</f>
        <v>0</v>
      </c>
      <c r="U178" s="13">
        <f>Info!X207</f>
        <v>0</v>
      </c>
      <c r="V178" s="13">
        <f>Info!Y207</f>
        <v>0</v>
      </c>
      <c r="W178" t="str">
        <f>Info!H207</f>
        <v>settings.read, settings.write</v>
      </c>
      <c r="X178" s="12"/>
    </row>
    <row r="179" spans="2:24" x14ac:dyDescent="0.2">
      <c r="B179" t="b">
        <v>0</v>
      </c>
      <c r="C179" s="14" t="str" cm="1">
        <f t="array" ref="C179">IF(B179=TRUE,NowStatic(),"")</f>
        <v/>
      </c>
      <c r="D179" s="7">
        <f>Info!I216</f>
        <v>3</v>
      </c>
      <c r="E179" t="str">
        <f>Info!A216</f>
        <v>dynatrace_webhook_notification</v>
      </c>
      <c r="F179" t="str">
        <f>Info!G216</f>
        <v>Settings 2.0</v>
      </c>
      <c r="G179" s="7">
        <f>Info!J216</f>
        <v>1</v>
      </c>
      <c r="H179" s="13">
        <f>Info!K216</f>
        <v>0</v>
      </c>
      <c r="I179" s="13" t="str">
        <f>Info!L216</f>
        <v>X</v>
      </c>
      <c r="J179" s="13">
        <f>Info!M216</f>
        <v>0</v>
      </c>
      <c r="K179" s="13">
        <f>Info!N216</f>
        <v>0</v>
      </c>
      <c r="L179" s="13">
        <f>Info!O216</f>
        <v>0</v>
      </c>
      <c r="M179" s="13">
        <f>Info!P216</f>
        <v>0</v>
      </c>
      <c r="N179" s="13">
        <f>Info!Q216</f>
        <v>0</v>
      </c>
      <c r="O179" s="13">
        <f>Info!R216</f>
        <v>0</v>
      </c>
      <c r="P179" s="13">
        <f>Info!S216</f>
        <v>0</v>
      </c>
      <c r="Q179" s="13">
        <f>Info!T216</f>
        <v>0</v>
      </c>
      <c r="R179" s="13">
        <f>Info!U216</f>
        <v>0</v>
      </c>
      <c r="S179" s="13">
        <f>Info!V216</f>
        <v>0</v>
      </c>
      <c r="T179" s="13">
        <f>Info!W216</f>
        <v>0</v>
      </c>
      <c r="U179" s="13">
        <f>Info!X216</f>
        <v>0</v>
      </c>
      <c r="V179" s="13">
        <f>Info!Y216</f>
        <v>0</v>
      </c>
      <c r="W179" t="str">
        <f>Info!H216</f>
        <v>settings.read, settings.write</v>
      </c>
      <c r="X179" s="12"/>
    </row>
    <row r="180" spans="2:24" x14ac:dyDescent="0.2">
      <c r="B180" t="b">
        <v>0</v>
      </c>
      <c r="C180" s="14" t="str" cm="1">
        <f t="array" ref="C180">IF(B180=TRUE,NowStatic(),"")</f>
        <v/>
      </c>
      <c r="D180" s="7">
        <f>Info!I217</f>
        <v>3</v>
      </c>
      <c r="E180" t="str">
        <f>Info!A217</f>
        <v>dynatrace_xmatters_notification</v>
      </c>
      <c r="F180" t="str">
        <f>Info!G217</f>
        <v>Settings 2.0</v>
      </c>
      <c r="G180" s="7">
        <f>Info!J217</f>
        <v>1</v>
      </c>
      <c r="H180" s="13">
        <f>Info!K217</f>
        <v>0</v>
      </c>
      <c r="I180" s="13" t="str">
        <f>Info!L217</f>
        <v>X</v>
      </c>
      <c r="J180" s="13">
        <f>Info!M217</f>
        <v>0</v>
      </c>
      <c r="K180" s="13">
        <f>Info!N217</f>
        <v>0</v>
      </c>
      <c r="L180" s="13">
        <f>Info!O217</f>
        <v>0</v>
      </c>
      <c r="M180" s="13">
        <f>Info!P217</f>
        <v>0</v>
      </c>
      <c r="N180" s="13">
        <f>Info!Q217</f>
        <v>0</v>
      </c>
      <c r="O180" s="13">
        <f>Info!R217</f>
        <v>0</v>
      </c>
      <c r="P180" s="13">
        <f>Info!S217</f>
        <v>0</v>
      </c>
      <c r="Q180" s="13">
        <f>Info!T217</f>
        <v>0</v>
      </c>
      <c r="R180" s="13">
        <f>Info!U217</f>
        <v>0</v>
      </c>
      <c r="S180" s="13">
        <f>Info!V217</f>
        <v>0</v>
      </c>
      <c r="T180" s="13">
        <f>Info!W217</f>
        <v>0</v>
      </c>
      <c r="U180" s="13">
        <f>Info!X217</f>
        <v>0</v>
      </c>
      <c r="V180" s="13">
        <f>Info!Y217</f>
        <v>0</v>
      </c>
      <c r="W180" t="str">
        <f>Info!H217</f>
        <v>settings.read, settings.write</v>
      </c>
      <c r="X180" s="12"/>
    </row>
    <row r="181" spans="2:24" x14ac:dyDescent="0.2">
      <c r="B181" t="b">
        <v>0</v>
      </c>
      <c r="C181" s="14" t="str" cm="1">
        <f t="array" ref="C181">IF(B181=TRUE,NowStatic(),"")</f>
        <v/>
      </c>
      <c r="D181" s="7">
        <f>Info!I21</f>
        <v>4</v>
      </c>
      <c r="E181" t="str">
        <f>Info!A21</f>
        <v>dynatrace_browser_monitor_outage</v>
      </c>
      <c r="F181" t="str">
        <f>Info!G21</f>
        <v>Settings 2.0</v>
      </c>
      <c r="G181" s="7">
        <f>Info!J21</f>
        <v>1</v>
      </c>
      <c r="H181" s="13">
        <f>Info!K21</f>
        <v>0</v>
      </c>
      <c r="I181" s="13">
        <f>Info!L21</f>
        <v>0</v>
      </c>
      <c r="J181" s="13">
        <f>Info!M21</f>
        <v>0</v>
      </c>
      <c r="K181" s="13">
        <f>Info!N21</f>
        <v>0</v>
      </c>
      <c r="L181" s="13">
        <f>Info!O21</f>
        <v>0</v>
      </c>
      <c r="M181" s="13">
        <f>Info!P21</f>
        <v>0</v>
      </c>
      <c r="N181" s="13">
        <f>Info!Q21</f>
        <v>0</v>
      </c>
      <c r="O181" s="13" t="str">
        <f>Info!R21</f>
        <v>X</v>
      </c>
      <c r="P181" s="13">
        <f>Info!S21</f>
        <v>0</v>
      </c>
      <c r="Q181" s="13">
        <f>Info!T21</f>
        <v>0</v>
      </c>
      <c r="R181" s="13">
        <f>Info!U21</f>
        <v>0</v>
      </c>
      <c r="S181" s="13">
        <f>Info!V21</f>
        <v>0</v>
      </c>
      <c r="T181" s="13">
        <f>Info!W21</f>
        <v>0</v>
      </c>
      <c r="U181" s="13">
        <f>Info!X21</f>
        <v>0</v>
      </c>
      <c r="V181" s="13">
        <f>Info!Y21</f>
        <v>0</v>
      </c>
      <c r="W181" t="str">
        <f>Info!H21</f>
        <v>settings.read, settings.write</v>
      </c>
      <c r="X181" s="12"/>
    </row>
    <row r="182" spans="2:24" x14ac:dyDescent="0.2">
      <c r="B182" t="b">
        <v>0</v>
      </c>
      <c r="C182" s="14" t="str" cm="1">
        <f t="array" ref="C182">IF(B182=TRUE,NowStatic(),"")</f>
        <v/>
      </c>
      <c r="D182" s="7">
        <f>Info!I22</f>
        <v>4</v>
      </c>
      <c r="E182" t="str">
        <f>Info!A22</f>
        <v>dynatrace_browser_monitor_performance</v>
      </c>
      <c r="F182" t="str">
        <f>Info!G22</f>
        <v>Settings 2.0</v>
      </c>
      <c r="G182" s="7">
        <f>Info!J22</f>
        <v>1</v>
      </c>
      <c r="H182" s="13">
        <f>Info!K22</f>
        <v>0</v>
      </c>
      <c r="I182" s="13">
        <f>Info!L22</f>
        <v>0</v>
      </c>
      <c r="J182" s="13">
        <f>Info!M22</f>
        <v>0</v>
      </c>
      <c r="K182" s="13">
        <f>Info!N22</f>
        <v>0</v>
      </c>
      <c r="L182" s="13">
        <f>Info!O22</f>
        <v>0</v>
      </c>
      <c r="M182" s="13">
        <f>Info!P22</f>
        <v>0</v>
      </c>
      <c r="N182" s="13">
        <f>Info!Q22</f>
        <v>0</v>
      </c>
      <c r="O182" s="13" t="str">
        <f>Info!R22</f>
        <v>X</v>
      </c>
      <c r="P182" s="13">
        <f>Info!S22</f>
        <v>0</v>
      </c>
      <c r="Q182" s="13">
        <f>Info!T22</f>
        <v>0</v>
      </c>
      <c r="R182" s="13">
        <f>Info!U22</f>
        <v>0</v>
      </c>
      <c r="S182" s="13">
        <f>Info!V22</f>
        <v>0</v>
      </c>
      <c r="T182" s="13">
        <f>Info!W22</f>
        <v>0</v>
      </c>
      <c r="U182" s="13">
        <f>Info!X22</f>
        <v>0</v>
      </c>
      <c r="V182" s="13">
        <f>Info!Y22</f>
        <v>0</v>
      </c>
      <c r="W182" t="str">
        <f>Info!H22</f>
        <v>settings.read, settings.write</v>
      </c>
      <c r="X182" s="12"/>
    </row>
    <row r="183" spans="2:24" x14ac:dyDescent="0.2">
      <c r="B183" t="b">
        <v>0</v>
      </c>
      <c r="C183" s="14" t="str" cm="1">
        <f t="array" ref="C183">IF(B183=TRUE,NowStatic(),"")</f>
        <v/>
      </c>
      <c r="D183" s="7">
        <f>Info!I74</f>
        <v>4</v>
      </c>
      <c r="E183" t="str">
        <f>Info!A74</f>
        <v>dynatrace_http_monitor_cookies</v>
      </c>
      <c r="F183" t="str">
        <f>Info!G74</f>
        <v>Settings 2.0</v>
      </c>
      <c r="G183" s="7">
        <f>Info!J74</f>
        <v>1</v>
      </c>
      <c r="H183" s="13">
        <f>Info!K74</f>
        <v>0</v>
      </c>
      <c r="I183" s="13">
        <f>Info!L74</f>
        <v>0</v>
      </c>
      <c r="J183" s="13">
        <f>Info!M74</f>
        <v>0</v>
      </c>
      <c r="K183" s="13">
        <f>Info!N74</f>
        <v>0</v>
      </c>
      <c r="L183" s="13">
        <f>Info!O74</f>
        <v>0</v>
      </c>
      <c r="M183" s="13">
        <f>Info!P74</f>
        <v>0</v>
      </c>
      <c r="N183" s="13">
        <f>Info!Q74</f>
        <v>0</v>
      </c>
      <c r="O183" s="13">
        <f>Info!R74</f>
        <v>0</v>
      </c>
      <c r="P183" s="13" t="str">
        <f>Info!S74</f>
        <v>X</v>
      </c>
      <c r="Q183" s="13">
        <f>Info!T74</f>
        <v>0</v>
      </c>
      <c r="R183" s="13">
        <f>Info!U74</f>
        <v>0</v>
      </c>
      <c r="S183" s="13">
        <f>Info!V74</f>
        <v>0</v>
      </c>
      <c r="T183" s="13">
        <f>Info!W74</f>
        <v>0</v>
      </c>
      <c r="U183" s="13">
        <f>Info!X74</f>
        <v>0</v>
      </c>
      <c r="V183" s="13">
        <f>Info!Y74</f>
        <v>0</v>
      </c>
      <c r="W183" t="str">
        <f>Info!H74</f>
        <v>settings.read, settings.write</v>
      </c>
      <c r="X183" s="12"/>
    </row>
    <row r="184" spans="2:24" x14ac:dyDescent="0.2">
      <c r="B184" t="b">
        <v>0</v>
      </c>
      <c r="C184" s="14" t="str" cm="1">
        <f t="array" ref="C184">IF(B184=TRUE,NowStatic(),"")</f>
        <v/>
      </c>
      <c r="D184" s="7">
        <f>Info!I75</f>
        <v>4</v>
      </c>
      <c r="E184" t="str">
        <f>Info!A75</f>
        <v>dynatrace_http_monitor_outage</v>
      </c>
      <c r="F184" t="str">
        <f>Info!G75</f>
        <v>Settings 2.0</v>
      </c>
      <c r="G184" s="7">
        <f>Info!J75</f>
        <v>1</v>
      </c>
      <c r="H184" s="13">
        <f>Info!K75</f>
        <v>0</v>
      </c>
      <c r="I184" s="13">
        <f>Info!L75</f>
        <v>0</v>
      </c>
      <c r="J184" s="13">
        <f>Info!M75</f>
        <v>0</v>
      </c>
      <c r="K184" s="13">
        <f>Info!N75</f>
        <v>0</v>
      </c>
      <c r="L184" s="13">
        <f>Info!O75</f>
        <v>0</v>
      </c>
      <c r="M184" s="13">
        <f>Info!P75</f>
        <v>0</v>
      </c>
      <c r="N184" s="13">
        <f>Info!Q75</f>
        <v>0</v>
      </c>
      <c r="O184" s="13">
        <f>Info!R75</f>
        <v>0</v>
      </c>
      <c r="P184" s="13" t="str">
        <f>Info!S75</f>
        <v>X</v>
      </c>
      <c r="Q184" s="13">
        <f>Info!T75</f>
        <v>0</v>
      </c>
      <c r="R184" s="13">
        <f>Info!U75</f>
        <v>0</v>
      </c>
      <c r="S184" s="13">
        <f>Info!V75</f>
        <v>0</v>
      </c>
      <c r="T184" s="13">
        <f>Info!W75</f>
        <v>0</v>
      </c>
      <c r="U184" s="13">
        <f>Info!X75</f>
        <v>0</v>
      </c>
      <c r="V184" s="13">
        <f>Info!Y75</f>
        <v>0</v>
      </c>
      <c r="W184" t="str">
        <f>Info!H75</f>
        <v>settings.read, settings.write</v>
      </c>
      <c r="X184" s="12"/>
    </row>
    <row r="185" spans="2:24" x14ac:dyDescent="0.2">
      <c r="B185" t="b">
        <v>0</v>
      </c>
      <c r="C185" s="14" t="str" cm="1">
        <f t="array" ref="C185">IF(B185=TRUE,NowStatic(),"")</f>
        <v/>
      </c>
      <c r="D185" s="7">
        <f>Info!I76</f>
        <v>4</v>
      </c>
      <c r="E185" t="str">
        <f>Info!A76</f>
        <v>dynatrace_http_monitor_performance</v>
      </c>
      <c r="F185" t="str">
        <f>Info!G76</f>
        <v>Settings 2.0</v>
      </c>
      <c r="G185" s="7">
        <f>Info!J76</f>
        <v>1</v>
      </c>
      <c r="H185" s="13">
        <f>Info!K76</f>
        <v>0</v>
      </c>
      <c r="I185" s="13">
        <f>Info!L76</f>
        <v>0</v>
      </c>
      <c r="J185" s="13">
        <f>Info!M76</f>
        <v>0</v>
      </c>
      <c r="K185" s="13">
        <f>Info!N76</f>
        <v>0</v>
      </c>
      <c r="L185" s="13">
        <f>Info!O76</f>
        <v>0</v>
      </c>
      <c r="M185" s="13">
        <f>Info!P76</f>
        <v>0</v>
      </c>
      <c r="N185" s="13">
        <f>Info!Q76</f>
        <v>0</v>
      </c>
      <c r="O185" s="13">
        <f>Info!R76</f>
        <v>0</v>
      </c>
      <c r="P185" s="13" t="str">
        <f>Info!S76</f>
        <v>X</v>
      </c>
      <c r="Q185" s="13">
        <f>Info!T76</f>
        <v>0</v>
      </c>
      <c r="R185" s="13">
        <f>Info!U76</f>
        <v>0</v>
      </c>
      <c r="S185" s="13">
        <f>Info!V76</f>
        <v>0</v>
      </c>
      <c r="T185" s="13">
        <f>Info!W76</f>
        <v>0</v>
      </c>
      <c r="U185" s="13">
        <f>Info!X76</f>
        <v>0</v>
      </c>
      <c r="V185" s="13">
        <f>Info!Y76</f>
        <v>0</v>
      </c>
      <c r="W185" t="str">
        <f>Info!H76</f>
        <v>settings.read, settings.write</v>
      </c>
      <c r="X185" s="12"/>
    </row>
    <row r="186" spans="2:24" x14ac:dyDescent="0.2">
      <c r="B186" t="b">
        <v>0</v>
      </c>
      <c r="C186" s="14" t="str" cm="1">
        <f t="array" ref="C186">IF(B186=TRUE,NowStatic(),"")</f>
        <v/>
      </c>
      <c r="D186" s="7">
        <f>Info!I86</f>
        <v>5</v>
      </c>
      <c r="E186" t="str">
        <f>Info!A86</f>
        <v>dynatrace_json_dashboard</v>
      </c>
      <c r="F186" t="str">
        <f>Info!G86</f>
        <v>Config</v>
      </c>
      <c r="G186" s="7">
        <f>Info!J86</f>
        <v>8</v>
      </c>
      <c r="H186" s="13" t="str">
        <f>Info!K86</f>
        <v>X</v>
      </c>
      <c r="I186" s="13">
        <f>Info!L86</f>
        <v>0</v>
      </c>
      <c r="J186" s="13">
        <f>Info!M86</f>
        <v>0</v>
      </c>
      <c r="K186" s="13" t="str">
        <f>Info!N86</f>
        <v>X</v>
      </c>
      <c r="L186" s="13" t="str">
        <f>Info!O86</f>
        <v>X</v>
      </c>
      <c r="M186" s="13" t="str">
        <f>Info!P86</f>
        <v>X</v>
      </c>
      <c r="N186" s="13" t="str">
        <f>Info!Q86</f>
        <v>X</v>
      </c>
      <c r="O186" s="13" t="str">
        <f>Info!R86</f>
        <v>X</v>
      </c>
      <c r="P186" s="13" t="str">
        <f>Info!S86</f>
        <v>X</v>
      </c>
      <c r="Q186" s="13" t="str">
        <f>Info!T86</f>
        <v>X</v>
      </c>
      <c r="R186" s="13">
        <f>Info!U86</f>
        <v>0</v>
      </c>
      <c r="S186" s="13">
        <f>Info!V86</f>
        <v>0</v>
      </c>
      <c r="T186" s="13">
        <f>Info!W86</f>
        <v>0</v>
      </c>
      <c r="U186" s="13">
        <f>Info!X86</f>
        <v>0</v>
      </c>
      <c r="V186" s="13">
        <f>Info!Y86</f>
        <v>0</v>
      </c>
      <c r="W186" t="str">
        <f>Info!H86</f>
        <v>ReadConfig, WriteConfig</v>
      </c>
      <c r="X186" s="12"/>
    </row>
  </sheetData>
  <conditionalFormatting sqref="A2:X186">
    <cfRule type="expression" dxfId="0" priority="1">
      <formula>$B2=TRUE</formula>
    </cfRule>
  </conditionalFormatting>
  <pageMargins left="0.7" right="0.7" top="0.75" bottom="0.75" header="0.3" footer="0.3"/>
  <ignoredErrors>
    <ignoredError sqref="D2:E186 F2:W18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12700</xdr:rowOff>
                  </from>
                  <to>
                    <xdr:col>0</xdr:col>
                    <xdr:colOff>368300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Check Box 12">
              <controlPr defaultSize="0" autoFill="0" autoLine="0" autoPict="0">
                <anchor moveWithCells="1">
                  <from>
                    <xdr:col>0</xdr:col>
                    <xdr:colOff>88900</xdr:colOff>
                    <xdr:row>2</xdr:row>
                    <xdr:rowOff>12700</xdr:rowOff>
                  </from>
                  <to>
                    <xdr:col>0</xdr:col>
                    <xdr:colOff>368300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Check Box 13">
              <controlPr defaultSize="0" autoFill="0" autoLine="0" autoPict="0">
                <anchor moveWithCells="1">
                  <from>
                    <xdr:col>0</xdr:col>
                    <xdr:colOff>88900</xdr:colOff>
                    <xdr:row>3</xdr:row>
                    <xdr:rowOff>12700</xdr:rowOff>
                  </from>
                  <to>
                    <xdr:col>0</xdr:col>
                    <xdr:colOff>368300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Check Box 14">
              <controlPr defaultSize="0" autoFill="0" autoLine="0" autoPict="0">
                <anchor moveWithCells="1">
                  <from>
                    <xdr:col>0</xdr:col>
                    <xdr:colOff>88900</xdr:colOff>
                    <xdr:row>140</xdr:row>
                    <xdr:rowOff>12700</xdr:rowOff>
                  </from>
                  <to>
                    <xdr:col>0</xdr:col>
                    <xdr:colOff>368300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Check Box 15">
              <controlPr defaultSize="0" autoFill="0" autoLine="0" autoPict="0">
                <anchor moveWithCells="1">
                  <from>
                    <xdr:col>0</xdr:col>
                    <xdr:colOff>88900</xdr:colOff>
                    <xdr:row>150</xdr:row>
                    <xdr:rowOff>12700</xdr:rowOff>
                  </from>
                  <to>
                    <xdr:col>0</xdr:col>
                    <xdr:colOff>368300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Check Box 16">
              <controlPr defaultSize="0" autoFill="0" autoLine="0" autoPict="0">
                <anchor moveWithCells="1">
                  <from>
                    <xdr:col>0</xdr:col>
                    <xdr:colOff>88900</xdr:colOff>
                    <xdr:row>4</xdr:row>
                    <xdr:rowOff>12700</xdr:rowOff>
                  </from>
                  <to>
                    <xdr:col>0</xdr:col>
                    <xdr:colOff>368300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Check Box 17">
              <controlPr defaultSize="0" autoFill="0" autoLine="0" autoPict="0">
                <anchor moveWithCells="1">
                  <from>
                    <xdr:col>0</xdr:col>
                    <xdr:colOff>88900</xdr:colOff>
                    <xdr:row>5</xdr:row>
                    <xdr:rowOff>0</xdr:rowOff>
                  </from>
                  <to>
                    <xdr:col>0</xdr:col>
                    <xdr:colOff>368300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Check Box 18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Check Box 19">
              <controlPr defaultSize="0" autoFill="0" autoLine="0" autoPict="0">
                <anchor moveWithCells="1">
                  <from>
                    <xdr:col>0</xdr:col>
                    <xdr:colOff>88900</xdr:colOff>
                    <xdr:row>151</xdr:row>
                    <xdr:rowOff>12700</xdr:rowOff>
                  </from>
                  <to>
                    <xdr:col>0</xdr:col>
                    <xdr:colOff>368300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2" name="Check Box 20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Check Box 21">
              <controlPr defaultSize="0" autoFill="0" autoLine="0" autoPict="0">
                <anchor moveWithCells="1">
                  <from>
                    <xdr:col>0</xdr:col>
                    <xdr:colOff>88900</xdr:colOff>
                    <xdr:row>152</xdr:row>
                    <xdr:rowOff>12700</xdr:rowOff>
                  </from>
                  <to>
                    <xdr:col>0</xdr:col>
                    <xdr:colOff>368300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Check Box 22">
              <controlPr defaultSize="0" autoFill="0" autoLine="0" autoPict="0">
                <anchor moveWithCells="1">
                  <from>
                    <xdr:col>0</xdr:col>
                    <xdr:colOff>88900</xdr:colOff>
                    <xdr:row>5</xdr:row>
                    <xdr:rowOff>12700</xdr:rowOff>
                  </from>
                  <to>
                    <xdr:col>0</xdr:col>
                    <xdr:colOff>368300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Check Box 23">
              <controlPr defaultSize="0" autoFill="0" autoLine="0" autoPict="0">
                <anchor moveWithCells="1">
                  <from>
                    <xdr:col>0</xdr:col>
                    <xdr:colOff>88900</xdr:colOff>
                    <xdr:row>6</xdr:row>
                    <xdr:rowOff>12700</xdr:rowOff>
                  </from>
                  <to>
                    <xdr:col>0</xdr:col>
                    <xdr:colOff>368300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6" name="Check Box 24">
              <controlPr defaultSize="0" autoFill="0" autoLine="0" autoPict="0">
                <anchor moveWithCells="1">
                  <from>
                    <xdr:col>0</xdr:col>
                    <xdr:colOff>88900</xdr:colOff>
                    <xdr:row>7</xdr:row>
                    <xdr:rowOff>12700</xdr:rowOff>
                  </from>
                  <to>
                    <xdr:col>0</xdr:col>
                    <xdr:colOff>368300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7" name="Check Box 25">
              <controlPr defaultSize="0" autoFill="0" autoLine="0" autoPict="0">
                <anchor moveWithCells="1">
                  <from>
                    <xdr:col>0</xdr:col>
                    <xdr:colOff>88900</xdr:colOff>
                    <xdr:row>8</xdr:row>
                    <xdr:rowOff>12700</xdr:rowOff>
                  </from>
                  <to>
                    <xdr:col>0</xdr:col>
                    <xdr:colOff>368300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8" name="Check Box 26">
              <controlPr defaultSize="0" autoFill="0" autoLine="0" autoPict="0">
                <anchor moveWithCells="1">
                  <from>
                    <xdr:col>0</xdr:col>
                    <xdr:colOff>88900</xdr:colOff>
                    <xdr:row>9</xdr:row>
                    <xdr:rowOff>12700</xdr:rowOff>
                  </from>
                  <to>
                    <xdr:col>0</xdr:col>
                    <xdr:colOff>368300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9" name="Check Box 27">
              <controlPr defaultSize="0" autoFill="0" autoLine="0" autoPict="0">
                <anchor moveWithCells="1">
                  <from>
                    <xdr:col>0</xdr:col>
                    <xdr:colOff>88900</xdr:colOff>
                    <xdr:row>153</xdr:row>
                    <xdr:rowOff>12700</xdr:rowOff>
                  </from>
                  <to>
                    <xdr:col>0</xdr:col>
                    <xdr:colOff>368300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0" name="Check Box 28">
              <controlPr defaultSize="0" autoFill="0" autoLine="0" autoPict="0">
                <anchor moveWithCells="1">
                  <from>
                    <xdr:col>0</xdr:col>
                    <xdr:colOff>88900</xdr:colOff>
                    <xdr:row>180</xdr:row>
                    <xdr:rowOff>12700</xdr:rowOff>
                  </from>
                  <to>
                    <xdr:col>0</xdr:col>
                    <xdr:colOff>368300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1" name="Check Box 29">
              <controlPr defaultSize="0" autoFill="0" autoLine="0" autoPict="0">
                <anchor moveWithCells="1">
                  <from>
                    <xdr:col>0</xdr:col>
                    <xdr:colOff>88900</xdr:colOff>
                    <xdr:row>181</xdr:row>
                    <xdr:rowOff>12700</xdr:rowOff>
                  </from>
                  <to>
                    <xdr:col>0</xdr:col>
                    <xdr:colOff>368300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2" name="Check Box 30">
              <controlPr defaultSize="0" autoFill="0" autoLine="0" autoPict="0">
                <anchor moveWithCells="1">
                  <from>
                    <xdr:col>0</xdr:col>
                    <xdr:colOff>88900</xdr:colOff>
                    <xdr:row>10</xdr:row>
                    <xdr:rowOff>12700</xdr:rowOff>
                  </from>
                  <to>
                    <xdr:col>0</xdr:col>
                    <xdr:colOff>368300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3" name="Check Box 31">
              <controlPr defaultSize="0" autoFill="0" autoLine="0" autoPict="0">
                <anchor moveWithCells="1">
                  <from>
                    <xdr:col>0</xdr:col>
                    <xdr:colOff>88900</xdr:colOff>
                    <xdr:row>11</xdr:row>
                    <xdr:rowOff>12700</xdr:rowOff>
                  </from>
                  <to>
                    <xdr:col>0</xdr:col>
                    <xdr:colOff>368300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24" name="Check Box 32">
              <controlPr defaultSize="0" autoFill="0" autoLine="0" autoPict="0">
                <anchor moveWithCells="1">
                  <from>
                    <xdr:col>0</xdr:col>
                    <xdr:colOff>88900</xdr:colOff>
                    <xdr:row>12</xdr:row>
                    <xdr:rowOff>12700</xdr:rowOff>
                  </from>
                  <to>
                    <xdr:col>0</xdr:col>
                    <xdr:colOff>368300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25" name="Check Box 33">
              <controlPr defaultSize="0" autoFill="0" autoLine="0" autoPict="0">
                <anchor moveWithCells="1">
                  <from>
                    <xdr:col>0</xdr:col>
                    <xdr:colOff>88900</xdr:colOff>
                    <xdr:row>13</xdr:row>
                    <xdr:rowOff>12700</xdr:rowOff>
                  </from>
                  <to>
                    <xdr:col>0</xdr:col>
                    <xdr:colOff>368300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6" name="Check Box 34">
              <controlPr defaultSize="0" autoFill="0" autoLine="0" autoPict="0">
                <anchor moveWithCells="1">
                  <from>
                    <xdr:col>0</xdr:col>
                    <xdr:colOff>88900</xdr:colOff>
                    <xdr:row>141</xdr:row>
                    <xdr:rowOff>12700</xdr:rowOff>
                  </from>
                  <to>
                    <xdr:col>0</xdr:col>
                    <xdr:colOff>368300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27" name="Check Box 35">
              <controlPr defaultSize="0" autoFill="0" autoLine="0" autoPict="0">
                <anchor moveWithCells="1">
                  <from>
                    <xdr:col>0</xdr:col>
                    <xdr:colOff>88900</xdr:colOff>
                    <xdr:row>14</xdr:row>
                    <xdr:rowOff>12700</xdr:rowOff>
                  </from>
                  <to>
                    <xdr:col>0</xdr:col>
                    <xdr:colOff>368300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8" name="Check Box 36">
              <controlPr defaultSize="0" autoFill="0" autoLine="0" autoPict="0">
                <anchor moveWithCells="1">
                  <from>
                    <xdr:col>0</xdr:col>
                    <xdr:colOff>88900</xdr:colOff>
                    <xdr:row>15</xdr:row>
                    <xdr:rowOff>12700</xdr:rowOff>
                  </from>
                  <to>
                    <xdr:col>0</xdr:col>
                    <xdr:colOff>368300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9" name="Check Box 37">
              <controlPr defaultSize="0" autoFill="0" autoLine="0" autoPict="0">
                <anchor moveWithCells="1">
                  <from>
                    <xdr:col>0</xdr:col>
                    <xdr:colOff>88900</xdr:colOff>
                    <xdr:row>16</xdr:row>
                    <xdr:rowOff>0</xdr:rowOff>
                  </from>
                  <to>
                    <xdr:col>0</xdr:col>
                    <xdr:colOff>368300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0" name="Check Box 38">
              <controlPr defaultSize="0" autoFill="0" autoLine="0" autoPict="0">
                <anchor moveWithCells="1">
                  <from>
                    <xdr:col>0</xdr:col>
                    <xdr:colOff>88900</xdr:colOff>
                    <xdr:row>16</xdr:row>
                    <xdr:rowOff>12700</xdr:rowOff>
                  </from>
                  <to>
                    <xdr:col>0</xdr:col>
                    <xdr:colOff>368300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1" name="Check Box 39">
              <controlPr defaultSize="0" autoFill="0" autoLine="0" autoPict="0">
                <anchor moveWithCells="1">
                  <from>
                    <xdr:col>0</xdr:col>
                    <xdr:colOff>88900</xdr:colOff>
                    <xdr:row>17</xdr:row>
                    <xdr:rowOff>12700</xdr:rowOff>
                  </from>
                  <to>
                    <xdr:col>0</xdr:col>
                    <xdr:colOff>368300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2" name="Check Box 40">
              <controlPr defaultSize="0" autoFill="0" autoLine="0" autoPict="0">
                <anchor moveWithCells="1">
                  <from>
                    <xdr:col>0</xdr:col>
                    <xdr:colOff>88900</xdr:colOff>
                    <xdr:row>18</xdr:row>
                    <xdr:rowOff>12700</xdr:rowOff>
                  </from>
                  <to>
                    <xdr:col>0</xdr:col>
                    <xdr:colOff>368300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3" name="Check Box 41">
              <controlPr defaultSize="0" autoFill="0" autoLine="0" autoPict="0">
                <anchor moveWithCells="1">
                  <from>
                    <xdr:col>0</xdr:col>
                    <xdr:colOff>88900</xdr:colOff>
                    <xdr:row>19</xdr:row>
                    <xdr:rowOff>12700</xdr:rowOff>
                  </from>
                  <to>
                    <xdr:col>0</xdr:col>
                    <xdr:colOff>368300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4" name="Check Box 42">
              <controlPr defaultSize="0" autoFill="0" autoLine="0" autoPict="0">
                <anchor moveWithCells="1">
                  <from>
                    <xdr:col>0</xdr:col>
                    <xdr:colOff>88900</xdr:colOff>
                    <xdr:row>20</xdr:row>
                    <xdr:rowOff>12700</xdr:rowOff>
                  </from>
                  <to>
                    <xdr:col>0</xdr:col>
                    <xdr:colOff>368300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5" name="Check Box 43">
              <controlPr defaultSize="0" autoFill="0" autoLine="0" autoPict="0">
                <anchor moveWithCells="1">
                  <from>
                    <xdr:col>0</xdr:col>
                    <xdr:colOff>88900</xdr:colOff>
                    <xdr:row>154</xdr:row>
                    <xdr:rowOff>12700</xdr:rowOff>
                  </from>
                  <to>
                    <xdr:col>0</xdr:col>
                    <xdr:colOff>368300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6" name="Check Box 44">
              <controlPr defaultSize="0" autoFill="0" autoLine="0" autoPict="0">
                <anchor moveWithCells="1">
                  <from>
                    <xdr:col>0</xdr:col>
                    <xdr:colOff>88900</xdr:colOff>
                    <xdr:row>155</xdr:row>
                    <xdr:rowOff>12700</xdr:rowOff>
                  </from>
                  <to>
                    <xdr:col>0</xdr:col>
                    <xdr:colOff>368300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7" name="Check Box 45">
              <controlPr defaultSize="0" autoFill="0" autoLine="0" autoPict="0">
                <anchor moveWithCells="1">
                  <from>
                    <xdr:col>0</xdr:col>
                    <xdr:colOff>88900</xdr:colOff>
                    <xdr:row>156</xdr:row>
                    <xdr:rowOff>12700</xdr:rowOff>
                  </from>
                  <to>
                    <xdr:col>0</xdr:col>
                    <xdr:colOff>368300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8" name="Check Box 46">
              <controlPr defaultSize="0" autoFill="0" autoLine="0" autoPict="0">
                <anchor moveWithCells="1">
                  <from>
                    <xdr:col>0</xdr:col>
                    <xdr:colOff>88900</xdr:colOff>
                    <xdr:row>21</xdr:row>
                    <xdr:rowOff>12700</xdr:rowOff>
                  </from>
                  <to>
                    <xdr:col>0</xdr:col>
                    <xdr:colOff>368300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" name="Check Box 47">
              <controlPr defaultSize="0" autoFill="0" autoLine="0" autoPict="0">
                <anchor moveWithCells="1">
                  <from>
                    <xdr:col>0</xdr:col>
                    <xdr:colOff>88900</xdr:colOff>
                    <xdr:row>22</xdr:row>
                    <xdr:rowOff>12700</xdr:rowOff>
                  </from>
                  <to>
                    <xdr:col>0</xdr:col>
                    <xdr:colOff>368300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" name="Check Box 48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1" name="Check Box 49">
              <controlPr defaultSize="0" autoFill="0" autoLine="0" autoPict="0">
                <anchor moveWithCells="1">
                  <from>
                    <xdr:col>0</xdr:col>
                    <xdr:colOff>88900</xdr:colOff>
                    <xdr:row>23</xdr:row>
                    <xdr:rowOff>0</xdr:rowOff>
                  </from>
                  <to>
                    <xdr:col>0</xdr:col>
                    <xdr:colOff>368300</xdr:colOff>
                    <xdr:row>23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2" name="Check Box 50">
              <controlPr defaultSize="0" autoFill="0" autoLine="0" autoPict="0">
                <anchor moveWithCells="1">
                  <from>
                    <xdr:col>0</xdr:col>
                    <xdr:colOff>88900</xdr:colOff>
                    <xdr:row>23</xdr:row>
                    <xdr:rowOff>12700</xdr:rowOff>
                  </from>
                  <to>
                    <xdr:col>0</xdr:col>
                    <xdr:colOff>368300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3" name="Check Box 51">
              <controlPr defaultSize="0" autoFill="0" autoLine="0" autoPict="0">
                <anchor moveWithCells="1">
                  <from>
                    <xdr:col>0</xdr:col>
                    <xdr:colOff>88900</xdr:colOff>
                    <xdr:row>24</xdr:row>
                    <xdr:rowOff>12700</xdr:rowOff>
                  </from>
                  <to>
                    <xdr:col>0</xdr:col>
                    <xdr:colOff>368300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4" name="Check Box 52">
              <controlPr defaultSize="0" autoFill="0" autoLine="0" autoPict="0">
                <anchor moveWithCells="1">
                  <from>
                    <xdr:col>0</xdr:col>
                    <xdr:colOff>88900</xdr:colOff>
                    <xdr:row>25</xdr:row>
                    <xdr:rowOff>12700</xdr:rowOff>
                  </from>
                  <to>
                    <xdr:col>0</xdr:col>
                    <xdr:colOff>368300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5" name="Check Box 53">
              <controlPr defaultSize="0" autoFill="0" autoLine="0" autoPict="0">
                <anchor moveWithCells="1">
                  <from>
                    <xdr:col>0</xdr:col>
                    <xdr:colOff>88900</xdr:colOff>
                    <xdr:row>157</xdr:row>
                    <xdr:rowOff>12700</xdr:rowOff>
                  </from>
                  <to>
                    <xdr:col>0</xdr:col>
                    <xdr:colOff>368300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6" name="Check Box 54">
              <controlPr defaultSize="0" autoFill="0" autoLine="0" autoPict="0">
                <anchor moveWithCells="1">
                  <from>
                    <xdr:col>0</xdr:col>
                    <xdr:colOff>88900</xdr:colOff>
                    <xdr:row>26</xdr:row>
                    <xdr:rowOff>0</xdr:rowOff>
                  </from>
                  <to>
                    <xdr:col>0</xdr:col>
                    <xdr:colOff>368300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7" name="Check Box 55">
              <controlPr defaultSize="0" autoFill="0" autoLine="0" autoPict="0">
                <anchor moveWithCells="1">
                  <from>
                    <xdr:col>0</xdr:col>
                    <xdr:colOff>88900</xdr:colOff>
                    <xdr:row>26</xdr:row>
                    <xdr:rowOff>12700</xdr:rowOff>
                  </from>
                  <to>
                    <xdr:col>0</xdr:col>
                    <xdr:colOff>368300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8" name="Check Box 56">
              <controlPr defaultSize="0" autoFill="0" autoLine="0" autoPict="0">
                <anchor moveWithCells="1">
                  <from>
                    <xdr:col>0</xdr:col>
                    <xdr:colOff>88900</xdr:colOff>
                    <xdr:row>27</xdr:row>
                    <xdr:rowOff>12700</xdr:rowOff>
                  </from>
                  <to>
                    <xdr:col>0</xdr:col>
                    <xdr:colOff>368300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9" name="Check Box 57">
              <controlPr defaultSize="0" autoFill="0" autoLine="0" autoPict="0">
                <anchor moveWithCells="1">
                  <from>
                    <xdr:col>0</xdr:col>
                    <xdr:colOff>88900</xdr:colOff>
                    <xdr:row>28</xdr:row>
                    <xdr:rowOff>12700</xdr:rowOff>
                  </from>
                  <to>
                    <xdr:col>0</xdr:col>
                    <xdr:colOff>368300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0" name="Check Box 58">
              <controlPr defaultSize="0" autoFill="0" autoLine="0" autoPict="0">
                <anchor moveWithCells="1">
                  <from>
                    <xdr:col>0</xdr:col>
                    <xdr:colOff>88900</xdr:colOff>
                    <xdr:row>29</xdr:row>
                    <xdr:rowOff>12700</xdr:rowOff>
                  </from>
                  <to>
                    <xdr:col>0</xdr:col>
                    <xdr:colOff>368300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51" name="Check Box 59">
              <controlPr defaultSize="0" autoFill="0" autoLine="0" autoPict="0">
                <anchor moveWithCells="1">
                  <from>
                    <xdr:col>0</xdr:col>
                    <xdr:colOff>88900</xdr:colOff>
                    <xdr:row>30</xdr:row>
                    <xdr:rowOff>0</xdr:rowOff>
                  </from>
                  <to>
                    <xdr:col>0</xdr:col>
                    <xdr:colOff>368300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52" name="Check Box 60">
              <controlPr defaultSize="0" autoFill="0" autoLine="0" autoPict="0">
                <anchor moveWithCells="1">
                  <from>
                    <xdr:col>0</xdr:col>
                    <xdr:colOff>88900</xdr:colOff>
                    <xdr:row>30</xdr:row>
                    <xdr:rowOff>12700</xdr:rowOff>
                  </from>
                  <to>
                    <xdr:col>0</xdr:col>
                    <xdr:colOff>368300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53" name="Check Box 61">
              <controlPr defaultSize="0" autoFill="0" autoLine="0" autoPict="0">
                <anchor moveWithCells="1">
                  <from>
                    <xdr:col>0</xdr:col>
                    <xdr:colOff>88900</xdr:colOff>
                    <xdr:row>31</xdr:row>
                    <xdr:rowOff>12700</xdr:rowOff>
                  </from>
                  <to>
                    <xdr:col>0</xdr:col>
                    <xdr:colOff>368300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54" name="Check Box 62">
              <controlPr defaultSize="0" autoFill="0" autoLine="0" autoPict="0">
                <anchor moveWithCells="1">
                  <from>
                    <xdr:col>0</xdr:col>
                    <xdr:colOff>88900</xdr:colOff>
                    <xdr:row>32</xdr:row>
                    <xdr:rowOff>12700</xdr:rowOff>
                  </from>
                  <to>
                    <xdr:col>0</xdr:col>
                    <xdr:colOff>368300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5" name="Check Box 63">
              <controlPr defaultSize="0" autoFill="0" autoLine="0" autoPict="0">
                <anchor moveWithCells="1">
                  <from>
                    <xdr:col>0</xdr:col>
                    <xdr:colOff>88900</xdr:colOff>
                    <xdr:row>33</xdr:row>
                    <xdr:rowOff>12700</xdr:rowOff>
                  </from>
                  <to>
                    <xdr:col>0</xdr:col>
                    <xdr:colOff>368300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56" name="Check Box 64">
              <controlPr defaultSize="0" autoFill="0" autoLine="0" autoPict="0">
                <anchor moveWithCells="1">
                  <from>
                    <xdr:col>0</xdr:col>
                    <xdr:colOff>88900</xdr:colOff>
                    <xdr:row>158</xdr:row>
                    <xdr:rowOff>12700</xdr:rowOff>
                  </from>
                  <to>
                    <xdr:col>0</xdr:col>
                    <xdr:colOff>368300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57" name="Check Box 65">
              <controlPr defaultSize="0" autoFill="0" autoLine="0" autoPict="0">
                <anchor moveWithCells="1">
                  <from>
                    <xdr:col>0</xdr:col>
                    <xdr:colOff>88900</xdr:colOff>
                    <xdr:row>34</xdr:row>
                    <xdr:rowOff>12700</xdr:rowOff>
                  </from>
                  <to>
                    <xdr:col>0</xdr:col>
                    <xdr:colOff>368300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58" name="Check Box 66">
              <controlPr defaultSize="0" autoFill="0" autoLine="0" autoPict="0">
                <anchor moveWithCells="1">
                  <from>
                    <xdr:col>0</xdr:col>
                    <xdr:colOff>88900</xdr:colOff>
                    <xdr:row>35</xdr:row>
                    <xdr:rowOff>12700</xdr:rowOff>
                  </from>
                  <to>
                    <xdr:col>0</xdr:col>
                    <xdr:colOff>368300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59" name="Check Box 67">
              <controlPr defaultSize="0" autoFill="0" autoLine="0" autoPict="0">
                <anchor moveWithCells="1">
                  <from>
                    <xdr:col>0</xdr:col>
                    <xdr:colOff>88900</xdr:colOff>
                    <xdr:row>36</xdr:row>
                    <xdr:rowOff>12700</xdr:rowOff>
                  </from>
                  <to>
                    <xdr:col>0</xdr:col>
                    <xdr:colOff>368300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60" name="Check Box 68">
              <controlPr defaultSize="0" autoFill="0" autoLine="0" autoPict="0">
                <anchor moveWithCells="1">
                  <from>
                    <xdr:col>0</xdr:col>
                    <xdr:colOff>88900</xdr:colOff>
                    <xdr:row>37</xdr:row>
                    <xdr:rowOff>12700</xdr:rowOff>
                  </from>
                  <to>
                    <xdr:col>0</xdr:col>
                    <xdr:colOff>368300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61" name="Check Box 69">
              <controlPr defaultSize="0" autoFill="0" autoLine="0" autoPict="0">
                <anchor moveWithCells="1">
                  <from>
                    <xdr:col>0</xdr:col>
                    <xdr:colOff>88900</xdr:colOff>
                    <xdr:row>142</xdr:row>
                    <xdr:rowOff>12700</xdr:rowOff>
                  </from>
                  <to>
                    <xdr:col>0</xdr:col>
                    <xdr:colOff>368300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62" name="Check Box 70">
              <controlPr defaultSize="0" autoFill="0" autoLine="0" autoPict="0">
                <anchor moveWithCells="1">
                  <from>
                    <xdr:col>0</xdr:col>
                    <xdr:colOff>88900</xdr:colOff>
                    <xdr:row>38</xdr:row>
                    <xdr:rowOff>12700</xdr:rowOff>
                  </from>
                  <to>
                    <xdr:col>0</xdr:col>
                    <xdr:colOff>368300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63" name="Check Box 71">
              <controlPr defaultSize="0" autoFill="0" autoLine="0" autoPict="0">
                <anchor moveWithCells="1">
                  <from>
                    <xdr:col>0</xdr:col>
                    <xdr:colOff>88900</xdr:colOff>
                    <xdr:row>39</xdr:row>
                    <xdr:rowOff>12700</xdr:rowOff>
                  </from>
                  <to>
                    <xdr:col>0</xdr:col>
                    <xdr:colOff>368300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64" name="Check Box 72">
              <controlPr defaultSize="0" autoFill="0" autoLine="0" autoPict="0">
                <anchor moveWithCells="1">
                  <from>
                    <xdr:col>0</xdr:col>
                    <xdr:colOff>88900</xdr:colOff>
                    <xdr:row>40</xdr:row>
                    <xdr:rowOff>12700</xdr:rowOff>
                  </from>
                  <to>
                    <xdr:col>0</xdr:col>
                    <xdr:colOff>368300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65" name="Check Box 73">
              <controlPr defaultSize="0" autoFill="0" autoLine="0" autoPict="0">
                <anchor moveWithCells="1">
                  <from>
                    <xdr:col>0</xdr:col>
                    <xdr:colOff>88900</xdr:colOff>
                    <xdr:row>41</xdr:row>
                    <xdr:rowOff>12700</xdr:rowOff>
                  </from>
                  <to>
                    <xdr:col>0</xdr:col>
                    <xdr:colOff>368300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6" name="Check Box 74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67" name="Check Box 75">
              <controlPr defaultSize="0" autoFill="0" autoLine="0" autoPict="0">
                <anchor moveWithCells="1">
                  <from>
                    <xdr:col>0</xdr:col>
                    <xdr:colOff>88900</xdr:colOff>
                    <xdr:row>42</xdr:row>
                    <xdr:rowOff>12700</xdr:rowOff>
                  </from>
                  <to>
                    <xdr:col>0</xdr:col>
                    <xdr:colOff>368300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68" name="Check Box 76">
              <controlPr defaultSize="0" autoFill="0" autoLine="0" autoPict="0">
                <anchor moveWithCells="1">
                  <from>
                    <xdr:col>0</xdr:col>
                    <xdr:colOff>88900</xdr:colOff>
                    <xdr:row>43</xdr:row>
                    <xdr:rowOff>12700</xdr:rowOff>
                  </from>
                  <to>
                    <xdr:col>0</xdr:col>
                    <xdr:colOff>368300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69" name="Check Box 77">
              <controlPr defaultSize="0" autoFill="0" autoLine="0" autoPict="0">
                <anchor moveWithCells="1">
                  <from>
                    <xdr:col>0</xdr:col>
                    <xdr:colOff>88900</xdr:colOff>
                    <xdr:row>44</xdr:row>
                    <xdr:rowOff>12700</xdr:rowOff>
                  </from>
                  <to>
                    <xdr:col>0</xdr:col>
                    <xdr:colOff>368300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70" name="Check Box 78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12700</xdr:rowOff>
                  </from>
                  <to>
                    <xdr:col>0</xdr:col>
                    <xdr:colOff>368300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71" name="Check Box 79">
              <controlPr defaultSize="0" autoFill="0" autoLine="0" autoPict="0">
                <anchor moveWithCells="1">
                  <from>
                    <xdr:col>0</xdr:col>
                    <xdr:colOff>88900</xdr:colOff>
                    <xdr:row>159</xdr:row>
                    <xdr:rowOff>12700</xdr:rowOff>
                  </from>
                  <to>
                    <xdr:col>0</xdr:col>
                    <xdr:colOff>368300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72" name="Check Box 80">
              <controlPr defaultSize="0" autoFill="0" autoLine="0" autoPict="0">
                <anchor moveWithCells="1">
                  <from>
                    <xdr:col>0</xdr:col>
                    <xdr:colOff>88900</xdr:colOff>
                    <xdr:row>182</xdr:row>
                    <xdr:rowOff>12700</xdr:rowOff>
                  </from>
                  <to>
                    <xdr:col>0</xdr:col>
                    <xdr:colOff>368300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73" name="Check Box 81">
              <controlPr defaultSize="0" autoFill="0" autoLine="0" autoPict="0">
                <anchor moveWithCells="1">
                  <from>
                    <xdr:col>0</xdr:col>
                    <xdr:colOff>88900</xdr:colOff>
                    <xdr:row>183</xdr:row>
                    <xdr:rowOff>12700</xdr:rowOff>
                  </from>
                  <to>
                    <xdr:col>0</xdr:col>
                    <xdr:colOff>368300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74" name="Check Box 82">
              <controlPr defaultSize="0" autoFill="0" autoLine="0" autoPict="0">
                <anchor moveWithCells="1">
                  <from>
                    <xdr:col>0</xdr:col>
                    <xdr:colOff>88900</xdr:colOff>
                    <xdr:row>184</xdr:row>
                    <xdr:rowOff>12700</xdr:rowOff>
                  </from>
                  <to>
                    <xdr:col>0</xdr:col>
                    <xdr:colOff>368300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75" name="Check Box 83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6" name="Check Box 84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77" name="Check Box 85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78" name="Check Box 86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79" name="Check Box 87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80" name="Check Box 88">
              <controlPr defaultSize="0" autoFill="0" autoLine="0" autoPict="0">
                <anchor moveWithCells="1">
                  <from>
                    <xdr:col>0</xdr:col>
                    <xdr:colOff>88900</xdr:colOff>
                    <xdr:row>46</xdr:row>
                    <xdr:rowOff>12700</xdr:rowOff>
                  </from>
                  <to>
                    <xdr:col>0</xdr:col>
                    <xdr:colOff>368300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81" name="Check Box 89">
              <controlPr defaultSize="0" autoFill="0" autoLine="0" autoPict="0">
                <anchor moveWithCells="1">
                  <from>
                    <xdr:col>0</xdr:col>
                    <xdr:colOff>88900</xdr:colOff>
                    <xdr:row>47</xdr:row>
                    <xdr:rowOff>12700</xdr:rowOff>
                  </from>
                  <to>
                    <xdr:col>0</xdr:col>
                    <xdr:colOff>368300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82" name="Check Box 90">
              <controlPr defaultSize="0" autoFill="0" autoLine="0" autoPict="0">
                <anchor moveWithCells="1">
                  <from>
                    <xdr:col>0</xdr:col>
                    <xdr:colOff>88900</xdr:colOff>
                    <xdr:row>48</xdr:row>
                    <xdr:rowOff>12700</xdr:rowOff>
                  </from>
                  <to>
                    <xdr:col>0</xdr:col>
                    <xdr:colOff>368300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83" name="Check Box 91">
              <controlPr defaultSize="0" autoFill="0" autoLine="0" autoPict="0">
                <anchor moveWithCells="1">
                  <from>
                    <xdr:col>0</xdr:col>
                    <xdr:colOff>88900</xdr:colOff>
                    <xdr:row>160</xdr:row>
                    <xdr:rowOff>12700</xdr:rowOff>
                  </from>
                  <to>
                    <xdr:col>0</xdr:col>
                    <xdr:colOff>368300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84" name="Check Box 92">
              <controlPr defaultSize="0" autoFill="0" autoLine="0" autoPict="0">
                <anchor moveWithCells="1">
                  <from>
                    <xdr:col>0</xdr:col>
                    <xdr:colOff>88900</xdr:colOff>
                    <xdr:row>185</xdr:row>
                    <xdr:rowOff>12700</xdr:rowOff>
                  </from>
                  <to>
                    <xdr:col>0</xdr:col>
                    <xdr:colOff>368300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85" name="Check Box 93">
              <controlPr defaultSize="0" autoFill="0" autoLine="0" autoPict="0">
                <anchor moveWithCells="1">
                  <from>
                    <xdr:col>0</xdr:col>
                    <xdr:colOff>88900</xdr:colOff>
                    <xdr:row>49</xdr:row>
                    <xdr:rowOff>12700</xdr:rowOff>
                  </from>
                  <to>
                    <xdr:col>0</xdr:col>
                    <xdr:colOff>368300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86" name="Check Box 94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87" name="Check Box 95">
              <controlPr defaultSize="0" autoFill="0" autoLine="0" autoPict="0">
                <anchor moveWithCells="1">
                  <from>
                    <xdr:col>0</xdr:col>
                    <xdr:colOff>88900</xdr:colOff>
                    <xdr:row>50</xdr:row>
                    <xdr:rowOff>12700</xdr:rowOff>
                  </from>
                  <to>
                    <xdr:col>0</xdr:col>
                    <xdr:colOff>368300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88" name="Check Box 96">
              <controlPr defaultSize="0" autoFill="0" autoLine="0" autoPict="0">
                <anchor moveWithCells="1">
                  <from>
                    <xdr:col>0</xdr:col>
                    <xdr:colOff>88900</xdr:colOff>
                    <xdr:row>51</xdr:row>
                    <xdr:rowOff>12700</xdr:rowOff>
                  </from>
                  <to>
                    <xdr:col>0</xdr:col>
                    <xdr:colOff>368300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89" name="Check Box 97">
              <controlPr defaultSize="0" autoFill="0" autoLine="0" autoPict="0">
                <anchor moveWithCells="1">
                  <from>
                    <xdr:col>0</xdr:col>
                    <xdr:colOff>88900</xdr:colOff>
                    <xdr:row>52</xdr:row>
                    <xdr:rowOff>12700</xdr:rowOff>
                  </from>
                  <to>
                    <xdr:col>0</xdr:col>
                    <xdr:colOff>368300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90" name="Check Box 98">
              <controlPr defaultSize="0" autoFill="0" autoLine="0" autoPict="0">
                <anchor moveWithCells="1">
                  <from>
                    <xdr:col>0</xdr:col>
                    <xdr:colOff>88900</xdr:colOff>
                    <xdr:row>53</xdr:row>
                    <xdr:rowOff>12700</xdr:rowOff>
                  </from>
                  <to>
                    <xdr:col>0</xdr:col>
                    <xdr:colOff>368300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91" name="Check Box 99">
              <controlPr defaultSize="0" autoFill="0" autoLine="0" autoPict="0">
                <anchor moveWithCells="1">
                  <from>
                    <xdr:col>0</xdr:col>
                    <xdr:colOff>88900</xdr:colOff>
                    <xdr:row>54</xdr:row>
                    <xdr:rowOff>12700</xdr:rowOff>
                  </from>
                  <to>
                    <xdr:col>0</xdr:col>
                    <xdr:colOff>368300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92" name="Check Box 100">
              <controlPr defaultSize="0" autoFill="0" autoLine="0" autoPict="0">
                <anchor moveWithCells="1">
                  <from>
                    <xdr:col>0</xdr:col>
                    <xdr:colOff>88900</xdr:colOff>
                    <xdr:row>55</xdr:row>
                    <xdr:rowOff>12700</xdr:rowOff>
                  </from>
                  <to>
                    <xdr:col>0</xdr:col>
                    <xdr:colOff>368300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93" name="Check Box 101">
              <controlPr defaultSize="0" autoFill="0" autoLine="0" autoPict="0">
                <anchor moveWithCells="1">
                  <from>
                    <xdr:col>0</xdr:col>
                    <xdr:colOff>88900</xdr:colOff>
                    <xdr:row>56</xdr:row>
                    <xdr:rowOff>12700</xdr:rowOff>
                  </from>
                  <to>
                    <xdr:col>0</xdr:col>
                    <xdr:colOff>368300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94" name="Check Box 102">
              <controlPr defaultSize="0" autoFill="0" autoLine="0" autoPict="0">
                <anchor moveWithCells="1">
                  <from>
                    <xdr:col>0</xdr:col>
                    <xdr:colOff>88900</xdr:colOff>
                    <xdr:row>57</xdr:row>
                    <xdr:rowOff>12700</xdr:rowOff>
                  </from>
                  <to>
                    <xdr:col>0</xdr:col>
                    <xdr:colOff>368300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95" name="Check Box 103">
              <controlPr defaultSize="0" autoFill="0" autoLine="0" autoPict="0">
                <anchor moveWithCells="1">
                  <from>
                    <xdr:col>0</xdr:col>
                    <xdr:colOff>88900</xdr:colOff>
                    <xdr:row>58</xdr:row>
                    <xdr:rowOff>12700</xdr:rowOff>
                  </from>
                  <to>
                    <xdr:col>0</xdr:col>
                    <xdr:colOff>368300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96" name="Check Box 104">
              <controlPr defaultSize="0" autoFill="0" autoLine="0" autoPict="0">
                <anchor moveWithCells="1">
                  <from>
                    <xdr:col>0</xdr:col>
                    <xdr:colOff>88900</xdr:colOff>
                    <xdr:row>59</xdr:row>
                    <xdr:rowOff>12700</xdr:rowOff>
                  </from>
                  <to>
                    <xdr:col>0</xdr:col>
                    <xdr:colOff>368300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97" name="Check Box 105">
              <controlPr defaultSize="0" autoFill="0" autoLine="0" autoPict="0">
                <anchor moveWithCells="1">
                  <from>
                    <xdr:col>0</xdr:col>
                    <xdr:colOff>88900</xdr:colOff>
                    <xdr:row>60</xdr:row>
                    <xdr:rowOff>12700</xdr:rowOff>
                  </from>
                  <to>
                    <xdr:col>0</xdr:col>
                    <xdr:colOff>368300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98" name="Check Box 106">
              <controlPr defaultSize="0" autoFill="0" autoLine="0" autoPict="0">
                <anchor moveWithCells="1">
                  <from>
                    <xdr:col>0</xdr:col>
                    <xdr:colOff>88900</xdr:colOff>
                    <xdr:row>61</xdr:row>
                    <xdr:rowOff>12700</xdr:rowOff>
                  </from>
                  <to>
                    <xdr:col>0</xdr:col>
                    <xdr:colOff>368300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99" name="Check Box 107">
              <controlPr defaultSize="0" autoFill="0" autoLine="0" autoPict="0">
                <anchor moveWithCells="1">
                  <from>
                    <xdr:col>0</xdr:col>
                    <xdr:colOff>88900</xdr:colOff>
                    <xdr:row>62</xdr:row>
                    <xdr:rowOff>12700</xdr:rowOff>
                  </from>
                  <to>
                    <xdr:col>0</xdr:col>
                    <xdr:colOff>368300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00" name="Check Box 108">
              <controlPr defaultSize="0" autoFill="0" autoLine="0" autoPict="0">
                <anchor moveWithCells="1">
                  <from>
                    <xdr:col>0</xdr:col>
                    <xdr:colOff>88900</xdr:colOff>
                    <xdr:row>63</xdr:row>
                    <xdr:rowOff>12700</xdr:rowOff>
                  </from>
                  <to>
                    <xdr:col>0</xdr:col>
                    <xdr:colOff>368300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01" name="Check Box 109">
              <controlPr defaultSize="0" autoFill="0" autoLine="0" autoPict="0">
                <anchor moveWithCells="1">
                  <from>
                    <xdr:col>0</xdr:col>
                    <xdr:colOff>88900</xdr:colOff>
                    <xdr:row>64</xdr:row>
                    <xdr:rowOff>12700</xdr:rowOff>
                  </from>
                  <to>
                    <xdr:col>0</xdr:col>
                    <xdr:colOff>368300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02" name="Check Box 110">
              <controlPr defaultSize="0" autoFill="0" autoLine="0" autoPict="0">
                <anchor moveWithCells="1">
                  <from>
                    <xdr:col>0</xdr:col>
                    <xdr:colOff>88900</xdr:colOff>
                    <xdr:row>65</xdr:row>
                    <xdr:rowOff>12700</xdr:rowOff>
                  </from>
                  <to>
                    <xdr:col>0</xdr:col>
                    <xdr:colOff>368300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03" name="Check Box 111">
              <controlPr defaultSize="0" autoFill="0" autoLine="0" autoPict="0">
                <anchor moveWithCells="1">
                  <from>
                    <xdr:col>0</xdr:col>
                    <xdr:colOff>88900</xdr:colOff>
                    <xdr:row>66</xdr:row>
                    <xdr:rowOff>12700</xdr:rowOff>
                  </from>
                  <to>
                    <xdr:col>0</xdr:col>
                    <xdr:colOff>368300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04" name="Check Box 112">
              <controlPr defaultSize="0" autoFill="0" autoLine="0" autoPict="0">
                <anchor moveWithCells="1">
                  <from>
                    <xdr:col>0</xdr:col>
                    <xdr:colOff>88900</xdr:colOff>
                    <xdr:row>67</xdr:row>
                    <xdr:rowOff>12700</xdr:rowOff>
                  </from>
                  <to>
                    <xdr:col>0</xdr:col>
                    <xdr:colOff>368300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05" name="Check Box 113">
              <controlPr defaultSize="0" autoFill="0" autoLine="0" autoPict="0">
                <anchor moveWithCells="1">
                  <from>
                    <xdr:col>0</xdr:col>
                    <xdr:colOff>88900</xdr:colOff>
                    <xdr:row>143</xdr:row>
                    <xdr:rowOff>12700</xdr:rowOff>
                  </from>
                  <to>
                    <xdr:col>0</xdr:col>
                    <xdr:colOff>368300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06" name="Check Box 114">
              <controlPr defaultSize="0" autoFill="0" autoLine="0" autoPict="0">
                <anchor moveWithCells="1">
                  <from>
                    <xdr:col>0</xdr:col>
                    <xdr:colOff>88900</xdr:colOff>
                    <xdr:row>68</xdr:row>
                    <xdr:rowOff>12700</xdr:rowOff>
                  </from>
                  <to>
                    <xdr:col>0</xdr:col>
                    <xdr:colOff>368300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07" name="Check Box 115">
              <controlPr defaultSize="0" autoFill="0" autoLine="0" autoPict="0">
                <anchor moveWithCells="1">
                  <from>
                    <xdr:col>0</xdr:col>
                    <xdr:colOff>88900</xdr:colOff>
                    <xdr:row>144</xdr:row>
                    <xdr:rowOff>12700</xdr:rowOff>
                  </from>
                  <to>
                    <xdr:col>0</xdr:col>
                    <xdr:colOff>368300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08" name="Check Box 116">
              <controlPr defaultSize="0" autoFill="0" autoLine="0" autoPict="0">
                <anchor moveWithCells="1">
                  <from>
                    <xdr:col>0</xdr:col>
                    <xdr:colOff>88900</xdr:colOff>
                    <xdr:row>69</xdr:row>
                    <xdr:rowOff>12700</xdr:rowOff>
                  </from>
                  <to>
                    <xdr:col>0</xdr:col>
                    <xdr:colOff>368300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09" name="Check Box 117">
              <controlPr defaultSize="0" autoFill="0" autoLine="0" autoPict="0">
                <anchor moveWithCells="1">
                  <from>
                    <xdr:col>0</xdr:col>
                    <xdr:colOff>88900</xdr:colOff>
                    <xdr:row>70</xdr:row>
                    <xdr:rowOff>12700</xdr:rowOff>
                  </from>
                  <to>
                    <xdr:col>0</xdr:col>
                    <xdr:colOff>368300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10" name="Check Box 118">
              <controlPr defaultSize="0" autoFill="0" autoLine="0" autoPict="0">
                <anchor moveWithCells="1">
                  <from>
                    <xdr:col>0</xdr:col>
                    <xdr:colOff>88900</xdr:colOff>
                    <xdr:row>161</xdr:row>
                    <xdr:rowOff>12700</xdr:rowOff>
                  </from>
                  <to>
                    <xdr:col>0</xdr:col>
                    <xdr:colOff>368300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11" name="Check Box 119">
              <controlPr defaultSize="0" autoFill="0" autoLine="0" autoPict="0">
                <anchor moveWithCells="1">
                  <from>
                    <xdr:col>0</xdr:col>
                    <xdr:colOff>88900</xdr:colOff>
                    <xdr:row>162</xdr:row>
                    <xdr:rowOff>12700</xdr:rowOff>
                  </from>
                  <to>
                    <xdr:col>0</xdr:col>
                    <xdr:colOff>368300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12" name="Check Box 120">
              <controlPr defaultSize="0" autoFill="0" autoLine="0" autoPict="0">
                <anchor moveWithCells="1">
                  <from>
                    <xdr:col>0</xdr:col>
                    <xdr:colOff>88900</xdr:colOff>
                    <xdr:row>163</xdr:row>
                    <xdr:rowOff>12700</xdr:rowOff>
                  </from>
                  <to>
                    <xdr:col>0</xdr:col>
                    <xdr:colOff>368300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13" name="Check Box 121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14" name="Check Box 122">
              <controlPr defaultSize="0" autoFill="0" autoLine="0" autoPict="0">
                <anchor moveWithCells="1">
                  <from>
                    <xdr:col>0</xdr:col>
                    <xdr:colOff>88900</xdr:colOff>
                    <xdr:row>145</xdr:row>
                    <xdr:rowOff>12700</xdr:rowOff>
                  </from>
                  <to>
                    <xdr:col>0</xdr:col>
                    <xdr:colOff>368300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15" name="Check Box 123">
              <controlPr defaultSize="0" autoFill="0" autoLine="0" autoPict="0">
                <anchor moveWithCells="1">
                  <from>
                    <xdr:col>0</xdr:col>
                    <xdr:colOff>88900</xdr:colOff>
                    <xdr:row>71</xdr:row>
                    <xdr:rowOff>12700</xdr:rowOff>
                  </from>
                  <to>
                    <xdr:col>0</xdr:col>
                    <xdr:colOff>368300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16" name="Check Box 124">
              <controlPr defaultSize="0" autoFill="0" autoLine="0" autoPict="0">
                <anchor moveWithCells="1">
                  <from>
                    <xdr:col>0</xdr:col>
                    <xdr:colOff>88900</xdr:colOff>
                    <xdr:row>72</xdr:row>
                    <xdr:rowOff>12700</xdr:rowOff>
                  </from>
                  <to>
                    <xdr:col>0</xdr:col>
                    <xdr:colOff>368300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17" name="Check Box 125">
              <controlPr defaultSize="0" autoFill="0" autoLine="0" autoPict="0">
                <anchor moveWithCells="1">
                  <from>
                    <xdr:col>0</xdr:col>
                    <xdr:colOff>88900</xdr:colOff>
                    <xdr:row>73</xdr:row>
                    <xdr:rowOff>12700</xdr:rowOff>
                  </from>
                  <to>
                    <xdr:col>0</xdr:col>
                    <xdr:colOff>368300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18" name="Check Box 126">
              <controlPr defaultSize="0" autoFill="0" autoLine="0" autoPict="0">
                <anchor moveWithCells="1">
                  <from>
                    <xdr:col>0</xdr:col>
                    <xdr:colOff>88900</xdr:colOff>
                    <xdr:row>74</xdr:row>
                    <xdr:rowOff>12700</xdr:rowOff>
                  </from>
                  <to>
                    <xdr:col>0</xdr:col>
                    <xdr:colOff>368300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19" name="Check Box 127">
              <controlPr defaultSize="0" autoFill="0" autoLine="0" autoPict="0">
                <anchor moveWithCells="1">
                  <from>
                    <xdr:col>0</xdr:col>
                    <xdr:colOff>88900</xdr:colOff>
                    <xdr:row>75</xdr:row>
                    <xdr:rowOff>12700</xdr:rowOff>
                  </from>
                  <to>
                    <xdr:col>0</xdr:col>
                    <xdr:colOff>368300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20" name="Check Box 128">
              <controlPr defaultSize="0" autoFill="0" autoLine="0" autoPict="0">
                <anchor moveWithCells="1">
                  <from>
                    <xdr:col>0</xdr:col>
                    <xdr:colOff>88900</xdr:colOff>
                    <xdr:row>76</xdr:row>
                    <xdr:rowOff>12700</xdr:rowOff>
                  </from>
                  <to>
                    <xdr:col>0</xdr:col>
                    <xdr:colOff>368300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21" name="Check Box 129">
              <controlPr defaultSize="0" autoFill="0" autoLine="0" autoPict="0">
                <anchor moveWithCells="1">
                  <from>
                    <xdr:col>0</xdr:col>
                    <xdr:colOff>88900</xdr:colOff>
                    <xdr:row>77</xdr:row>
                    <xdr:rowOff>12700</xdr:rowOff>
                  </from>
                  <to>
                    <xdr:col>0</xdr:col>
                    <xdr:colOff>368300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22" name="Check Box 130">
              <controlPr defaultSize="0" autoFill="0" autoLine="0" autoPict="0">
                <anchor moveWithCells="1">
                  <from>
                    <xdr:col>0</xdr:col>
                    <xdr:colOff>88900</xdr:colOff>
                    <xdr:row>78</xdr:row>
                    <xdr:rowOff>12700</xdr:rowOff>
                  </from>
                  <to>
                    <xdr:col>0</xdr:col>
                    <xdr:colOff>368300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23" name="Check Box 131">
              <controlPr defaultSize="0" autoFill="0" autoLine="0" autoPict="0">
                <anchor moveWithCells="1">
                  <from>
                    <xdr:col>0</xdr:col>
                    <xdr:colOff>88900</xdr:colOff>
                    <xdr:row>79</xdr:row>
                    <xdr:rowOff>12700</xdr:rowOff>
                  </from>
                  <to>
                    <xdr:col>0</xdr:col>
                    <xdr:colOff>368300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24" name="Check Box 132">
              <controlPr defaultSize="0" autoFill="0" autoLine="0" autoPict="0">
                <anchor moveWithCells="1">
                  <from>
                    <xdr:col>0</xdr:col>
                    <xdr:colOff>88900</xdr:colOff>
                    <xdr:row>80</xdr:row>
                    <xdr:rowOff>12700</xdr:rowOff>
                  </from>
                  <to>
                    <xdr:col>0</xdr:col>
                    <xdr:colOff>368300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25" name="Check Box 133">
              <controlPr defaultSize="0" autoFill="0" autoLine="0" autoPict="0">
                <anchor moveWithCells="1">
                  <from>
                    <xdr:col>0</xdr:col>
                    <xdr:colOff>88900</xdr:colOff>
                    <xdr:row>81</xdr:row>
                    <xdr:rowOff>12700</xdr:rowOff>
                  </from>
                  <to>
                    <xdr:col>0</xdr:col>
                    <xdr:colOff>368300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26" name="Check Box 134">
              <controlPr defaultSize="0" autoFill="0" autoLine="0" autoPict="0">
                <anchor moveWithCells="1">
                  <from>
                    <xdr:col>0</xdr:col>
                    <xdr:colOff>88900</xdr:colOff>
                    <xdr:row>82</xdr:row>
                    <xdr:rowOff>12700</xdr:rowOff>
                  </from>
                  <to>
                    <xdr:col>0</xdr:col>
                    <xdr:colOff>368300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27" name="Check Box 135">
              <controlPr defaultSize="0" autoFill="0" autoLine="0" autoPict="0">
                <anchor moveWithCells="1">
                  <from>
                    <xdr:col>0</xdr:col>
                    <xdr:colOff>88900</xdr:colOff>
                    <xdr:row>83</xdr:row>
                    <xdr:rowOff>12700</xdr:rowOff>
                  </from>
                  <to>
                    <xdr:col>0</xdr:col>
                    <xdr:colOff>368300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28" name="Check Box 136">
              <controlPr defaultSize="0" autoFill="0" autoLine="0" autoPict="0">
                <anchor moveWithCells="1">
                  <from>
                    <xdr:col>0</xdr:col>
                    <xdr:colOff>88900</xdr:colOff>
                    <xdr:row>84</xdr:row>
                    <xdr:rowOff>12700</xdr:rowOff>
                  </from>
                  <to>
                    <xdr:col>0</xdr:col>
                    <xdr:colOff>368300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29" name="Check Box 137">
              <controlPr defaultSize="0" autoFill="0" autoLine="0" autoPict="0">
                <anchor moveWithCells="1">
                  <from>
                    <xdr:col>0</xdr:col>
                    <xdr:colOff>88900</xdr:colOff>
                    <xdr:row>86</xdr:row>
                    <xdr:rowOff>12700</xdr:rowOff>
                  </from>
                  <to>
                    <xdr:col>0</xdr:col>
                    <xdr:colOff>368300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30" name="Check Box 138">
              <controlPr defaultSize="0" autoFill="0" autoLine="0" autoPict="0">
                <anchor moveWithCells="1">
                  <from>
                    <xdr:col>0</xdr:col>
                    <xdr:colOff>88900</xdr:colOff>
                    <xdr:row>85</xdr:row>
                    <xdr:rowOff>12700</xdr:rowOff>
                  </from>
                  <to>
                    <xdr:col>0</xdr:col>
                    <xdr:colOff>368300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31" name="Check Box 139">
              <controlPr defaultSize="0" autoFill="0" autoLine="0" autoPict="0">
                <anchor moveWithCells="1">
                  <from>
                    <xdr:col>0</xdr:col>
                    <xdr:colOff>88900</xdr:colOff>
                    <xdr:row>87</xdr:row>
                    <xdr:rowOff>12700</xdr:rowOff>
                  </from>
                  <to>
                    <xdr:col>0</xdr:col>
                    <xdr:colOff>368300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32" name="Check Box 140">
              <controlPr defaultSize="0" autoFill="0" autoLine="0" autoPict="0">
                <anchor moveWithCells="1">
                  <from>
                    <xdr:col>0</xdr:col>
                    <xdr:colOff>88900</xdr:colOff>
                    <xdr:row>88</xdr:row>
                    <xdr:rowOff>12700</xdr:rowOff>
                  </from>
                  <to>
                    <xdr:col>0</xdr:col>
                    <xdr:colOff>368300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33" name="Check Box 141">
              <controlPr defaultSize="0" autoFill="0" autoLine="0" autoPict="0">
                <anchor moveWithCells="1">
                  <from>
                    <xdr:col>0</xdr:col>
                    <xdr:colOff>88900</xdr:colOff>
                    <xdr:row>146</xdr:row>
                    <xdr:rowOff>12700</xdr:rowOff>
                  </from>
                  <to>
                    <xdr:col>0</xdr:col>
                    <xdr:colOff>368300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34" name="Check Box 142">
              <controlPr defaultSize="0" autoFill="0" autoLine="0" autoPict="0">
                <anchor moveWithCells="1">
                  <from>
                    <xdr:col>0</xdr:col>
                    <xdr:colOff>88900</xdr:colOff>
                    <xdr:row>89</xdr:row>
                    <xdr:rowOff>12700</xdr:rowOff>
                  </from>
                  <to>
                    <xdr:col>0</xdr:col>
                    <xdr:colOff>368300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35" name="Check Box 143">
              <controlPr defaultSize="0" autoFill="0" autoLine="0" autoPict="0">
                <anchor moveWithCells="1">
                  <from>
                    <xdr:col>0</xdr:col>
                    <xdr:colOff>88900</xdr:colOff>
                    <xdr:row>164</xdr:row>
                    <xdr:rowOff>12700</xdr:rowOff>
                  </from>
                  <to>
                    <xdr:col>0</xdr:col>
                    <xdr:colOff>368300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36" name="Check Box 144">
              <controlPr defaultSize="0" autoFill="0" autoLine="0" autoPict="0">
                <anchor moveWithCells="1">
                  <from>
                    <xdr:col>0</xdr:col>
                    <xdr:colOff>88900</xdr:colOff>
                    <xdr:row>90</xdr:row>
                    <xdr:rowOff>12700</xdr:rowOff>
                  </from>
                  <to>
                    <xdr:col>0</xdr:col>
                    <xdr:colOff>368300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37" name="Check Box 145">
              <controlPr defaultSize="0" autoFill="0" autoLine="0" autoPict="0">
                <anchor moveWithCells="1">
                  <from>
                    <xdr:col>0</xdr:col>
                    <xdr:colOff>88900</xdr:colOff>
                    <xdr:row>91</xdr:row>
                    <xdr:rowOff>12700</xdr:rowOff>
                  </from>
                  <to>
                    <xdr:col>0</xdr:col>
                    <xdr:colOff>368300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38" name="Check Box 146">
              <controlPr defaultSize="0" autoFill="0" autoLine="0" autoPict="0">
                <anchor moveWithCells="1">
                  <from>
                    <xdr:col>0</xdr:col>
                    <xdr:colOff>88900</xdr:colOff>
                    <xdr:row>92</xdr:row>
                    <xdr:rowOff>12700</xdr:rowOff>
                  </from>
                  <to>
                    <xdr:col>0</xdr:col>
                    <xdr:colOff>368300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39" name="Check Box 147">
              <controlPr defaultSize="0" autoFill="0" autoLine="0" autoPict="0">
                <anchor moveWithCells="1">
                  <from>
                    <xdr:col>0</xdr:col>
                    <xdr:colOff>88900</xdr:colOff>
                    <xdr:row>165</xdr:row>
                    <xdr:rowOff>12700</xdr:rowOff>
                  </from>
                  <to>
                    <xdr:col>0</xdr:col>
                    <xdr:colOff>368300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40" name="Check Box 148">
              <controlPr defaultSize="0" autoFill="0" autoLine="0" autoPict="0">
                <anchor moveWithCells="1">
                  <from>
                    <xdr:col>0</xdr:col>
                    <xdr:colOff>88900</xdr:colOff>
                    <xdr:row>93</xdr:row>
                    <xdr:rowOff>12700</xdr:rowOff>
                  </from>
                  <to>
                    <xdr:col>0</xdr:col>
                    <xdr:colOff>368300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41" name="Check Box 149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42" name="Check Box 150">
              <controlPr defaultSize="0" autoFill="0" autoLine="0" autoPict="0">
                <anchor moveWithCells="1">
                  <from>
                    <xdr:col>0</xdr:col>
                    <xdr:colOff>88900</xdr:colOff>
                    <xdr:row>94</xdr:row>
                    <xdr:rowOff>12700</xdr:rowOff>
                  </from>
                  <to>
                    <xdr:col>0</xdr:col>
                    <xdr:colOff>368300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43" name="Check Box 151">
              <controlPr defaultSize="0" autoFill="0" autoLine="0" autoPict="0">
                <anchor moveWithCells="1">
                  <from>
                    <xdr:col>0</xdr:col>
                    <xdr:colOff>88900</xdr:colOff>
                    <xdr:row>95</xdr:row>
                    <xdr:rowOff>12700</xdr:rowOff>
                  </from>
                  <to>
                    <xdr:col>0</xdr:col>
                    <xdr:colOff>368300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44" name="Check Box 152">
              <controlPr defaultSize="0" autoFill="0" autoLine="0" autoPict="0">
                <anchor moveWithCells="1">
                  <from>
                    <xdr:col>0</xdr:col>
                    <xdr:colOff>88900</xdr:colOff>
                    <xdr:row>96</xdr:row>
                    <xdr:rowOff>12700</xdr:rowOff>
                  </from>
                  <to>
                    <xdr:col>0</xdr:col>
                    <xdr:colOff>368300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45" name="Check Box 153">
              <controlPr defaultSize="0" autoFill="0" autoLine="0" autoPict="0">
                <anchor moveWithCells="1">
                  <from>
                    <xdr:col>0</xdr:col>
                    <xdr:colOff>88900</xdr:colOff>
                    <xdr:row>97</xdr:row>
                    <xdr:rowOff>12700</xdr:rowOff>
                  </from>
                  <to>
                    <xdr:col>0</xdr:col>
                    <xdr:colOff>368300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46" name="Check Box 154">
              <controlPr defaultSize="0" autoFill="0" autoLine="0" autoPict="0">
                <anchor moveWithCells="1">
                  <from>
                    <xdr:col>0</xdr:col>
                    <xdr:colOff>88900</xdr:colOff>
                    <xdr:row>98</xdr:row>
                    <xdr:rowOff>12700</xdr:rowOff>
                  </from>
                  <to>
                    <xdr:col>0</xdr:col>
                    <xdr:colOff>368300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47" name="Check Box 155">
              <controlPr defaultSize="0" autoFill="0" autoLine="0" autoPict="0">
                <anchor moveWithCells="1">
                  <from>
                    <xdr:col>0</xdr:col>
                    <xdr:colOff>88900</xdr:colOff>
                    <xdr:row>99</xdr:row>
                    <xdr:rowOff>12700</xdr:rowOff>
                  </from>
                  <to>
                    <xdr:col>0</xdr:col>
                    <xdr:colOff>368300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48" name="Check Box 156">
              <controlPr defaultSize="0" autoFill="0" autoLine="0" autoPict="0">
                <anchor moveWithCells="1">
                  <from>
                    <xdr:col>0</xdr:col>
                    <xdr:colOff>88900</xdr:colOff>
                    <xdr:row>100</xdr:row>
                    <xdr:rowOff>12700</xdr:rowOff>
                  </from>
                  <to>
                    <xdr:col>0</xdr:col>
                    <xdr:colOff>368300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49" name="Check Box 157">
              <controlPr defaultSize="0" autoFill="0" autoLine="0" autoPict="0">
                <anchor moveWithCells="1">
                  <from>
                    <xdr:col>0</xdr:col>
                    <xdr:colOff>88900</xdr:colOff>
                    <xdr:row>101</xdr:row>
                    <xdr:rowOff>12700</xdr:rowOff>
                  </from>
                  <to>
                    <xdr:col>0</xdr:col>
                    <xdr:colOff>368300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50" name="Check Box 158">
              <controlPr defaultSize="0" autoFill="0" autoLine="0" autoPict="0">
                <anchor moveWithCells="1">
                  <from>
                    <xdr:col>0</xdr:col>
                    <xdr:colOff>88900</xdr:colOff>
                    <xdr:row>102</xdr:row>
                    <xdr:rowOff>12700</xdr:rowOff>
                  </from>
                  <to>
                    <xdr:col>0</xdr:col>
                    <xdr:colOff>368300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51" name="Check Box 159">
              <controlPr defaultSize="0" autoFill="0" autoLine="0" autoPict="0">
                <anchor moveWithCells="1">
                  <from>
                    <xdr:col>0</xdr:col>
                    <xdr:colOff>88900</xdr:colOff>
                    <xdr:row>103</xdr:row>
                    <xdr:rowOff>12700</xdr:rowOff>
                  </from>
                  <to>
                    <xdr:col>0</xdr:col>
                    <xdr:colOff>368300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52" name="Check Box 160">
              <controlPr defaultSize="0" autoFill="0" autoLine="0" autoPict="0">
                <anchor moveWithCells="1">
                  <from>
                    <xdr:col>0</xdr:col>
                    <xdr:colOff>88900</xdr:colOff>
                    <xdr:row>104</xdr:row>
                    <xdr:rowOff>12700</xdr:rowOff>
                  </from>
                  <to>
                    <xdr:col>0</xdr:col>
                    <xdr:colOff>368300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53" name="Check Box 161">
              <controlPr defaultSize="0" autoFill="0" autoLine="0" autoPict="0">
                <anchor moveWithCells="1">
                  <from>
                    <xdr:col>0</xdr:col>
                    <xdr:colOff>88900</xdr:colOff>
                    <xdr:row>105</xdr:row>
                    <xdr:rowOff>12700</xdr:rowOff>
                  </from>
                  <to>
                    <xdr:col>0</xdr:col>
                    <xdr:colOff>368300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54" name="Check Box 162">
              <controlPr defaultSize="0" autoFill="0" autoLine="0" autoPict="0">
                <anchor moveWithCells="1">
                  <from>
                    <xdr:col>0</xdr:col>
                    <xdr:colOff>88900</xdr:colOff>
                    <xdr:row>106</xdr:row>
                    <xdr:rowOff>12700</xdr:rowOff>
                  </from>
                  <to>
                    <xdr:col>0</xdr:col>
                    <xdr:colOff>368300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55" name="Check Box 163">
              <controlPr defaultSize="0" autoFill="0" autoLine="0" autoPict="0">
                <anchor moveWithCells="1">
                  <from>
                    <xdr:col>0</xdr:col>
                    <xdr:colOff>88900</xdr:colOff>
                    <xdr:row>107</xdr:row>
                    <xdr:rowOff>12700</xdr:rowOff>
                  </from>
                  <to>
                    <xdr:col>0</xdr:col>
                    <xdr:colOff>368300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56" name="Check Box 164">
              <controlPr defaultSize="0" autoFill="0" autoLine="0" autoPict="0">
                <anchor moveWithCells="1">
                  <from>
                    <xdr:col>0</xdr:col>
                    <xdr:colOff>88900</xdr:colOff>
                    <xdr:row>147</xdr:row>
                    <xdr:rowOff>12700</xdr:rowOff>
                  </from>
                  <to>
                    <xdr:col>0</xdr:col>
                    <xdr:colOff>368300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57" name="Check Box 165">
              <controlPr defaultSize="0" autoFill="0" autoLine="0" autoPict="0">
                <anchor moveWithCells="1">
                  <from>
                    <xdr:col>0</xdr:col>
                    <xdr:colOff>88900</xdr:colOff>
                    <xdr:row>166</xdr:row>
                    <xdr:rowOff>12700</xdr:rowOff>
                  </from>
                  <to>
                    <xdr:col>0</xdr:col>
                    <xdr:colOff>368300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58" name="Check Box 166">
              <controlPr defaultSize="0" autoFill="0" autoLine="0" autoPict="0">
                <anchor moveWithCells="1">
                  <from>
                    <xdr:col>0</xdr:col>
                    <xdr:colOff>88900</xdr:colOff>
                    <xdr:row>108</xdr:row>
                    <xdr:rowOff>12700</xdr:rowOff>
                  </from>
                  <to>
                    <xdr:col>0</xdr:col>
                    <xdr:colOff>368300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59" name="Check Box 167">
              <controlPr defaultSize="0" autoFill="0" autoLine="0" autoPict="0">
                <anchor moveWithCells="1">
                  <from>
                    <xdr:col>0</xdr:col>
                    <xdr:colOff>88900</xdr:colOff>
                    <xdr:row>109</xdr:row>
                    <xdr:rowOff>12700</xdr:rowOff>
                  </from>
                  <to>
                    <xdr:col>0</xdr:col>
                    <xdr:colOff>368300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60" name="Check Box 168">
              <controlPr defaultSize="0" autoFill="0" autoLine="0" autoPict="0">
                <anchor moveWithCells="1">
                  <from>
                    <xdr:col>0</xdr:col>
                    <xdr:colOff>88900</xdr:colOff>
                    <xdr:row>110</xdr:row>
                    <xdr:rowOff>12700</xdr:rowOff>
                  </from>
                  <to>
                    <xdr:col>0</xdr:col>
                    <xdr:colOff>368300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61" name="Check Box 169">
              <controlPr defaultSize="0" autoFill="0" autoLine="0" autoPict="0">
                <anchor moveWithCells="1">
                  <from>
                    <xdr:col>0</xdr:col>
                    <xdr:colOff>88900</xdr:colOff>
                    <xdr:row>111</xdr:row>
                    <xdr:rowOff>12700</xdr:rowOff>
                  </from>
                  <to>
                    <xdr:col>0</xdr:col>
                    <xdr:colOff>368300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62" name="Check Box 170">
              <controlPr defaultSize="0" autoFill="0" autoLine="0" autoPict="0">
                <anchor moveWithCells="1">
                  <from>
                    <xdr:col>0</xdr:col>
                    <xdr:colOff>88900</xdr:colOff>
                    <xdr:row>112</xdr:row>
                    <xdr:rowOff>12700</xdr:rowOff>
                  </from>
                  <to>
                    <xdr:col>0</xdr:col>
                    <xdr:colOff>368300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63" name="Check Box 171">
              <controlPr defaultSize="0" autoFill="0" autoLine="0" autoPict="0">
                <anchor moveWithCells="1">
                  <from>
                    <xdr:col>0</xdr:col>
                    <xdr:colOff>88900</xdr:colOff>
                    <xdr:row>113</xdr:row>
                    <xdr:rowOff>12700</xdr:rowOff>
                  </from>
                  <to>
                    <xdr:col>0</xdr:col>
                    <xdr:colOff>368300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64" name="Check Box 172">
              <controlPr defaultSize="0" autoFill="0" autoLine="0" autoPict="0">
                <anchor moveWithCells="1">
                  <from>
                    <xdr:col>0</xdr:col>
                    <xdr:colOff>88900</xdr:colOff>
                    <xdr:row>114</xdr:row>
                    <xdr:rowOff>12700</xdr:rowOff>
                  </from>
                  <to>
                    <xdr:col>0</xdr:col>
                    <xdr:colOff>368300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65" name="Check Box 173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66" name="Check Box 174">
              <controlPr defaultSize="0" autoFill="0" autoLine="0" autoPict="0">
                <anchor moveWithCells="1">
                  <from>
                    <xdr:col>0</xdr:col>
                    <xdr:colOff>88900</xdr:colOff>
                    <xdr:row>115</xdr:row>
                    <xdr:rowOff>12700</xdr:rowOff>
                  </from>
                  <to>
                    <xdr:col>0</xdr:col>
                    <xdr:colOff>368300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67" name="Check Box 175">
              <controlPr defaultSize="0" autoFill="0" autoLine="0" autoPict="0">
                <anchor moveWithCells="1">
                  <from>
                    <xdr:col>0</xdr:col>
                    <xdr:colOff>88900</xdr:colOff>
                    <xdr:row>116</xdr:row>
                    <xdr:rowOff>12700</xdr:rowOff>
                  </from>
                  <to>
                    <xdr:col>0</xdr:col>
                    <xdr:colOff>368300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68" name="Check Box 176">
              <controlPr defaultSize="0" autoFill="0" autoLine="0" autoPict="0">
                <anchor moveWithCells="1">
                  <from>
                    <xdr:col>0</xdr:col>
                    <xdr:colOff>88900</xdr:colOff>
                    <xdr:row>117</xdr:row>
                    <xdr:rowOff>12700</xdr:rowOff>
                  </from>
                  <to>
                    <xdr:col>0</xdr:col>
                    <xdr:colOff>368300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69" name="Check Box 177">
              <controlPr defaultSize="0" autoFill="0" autoLine="0" autoPict="0">
                <anchor moveWithCells="1">
                  <from>
                    <xdr:col>0</xdr:col>
                    <xdr:colOff>88900</xdr:colOff>
                    <xdr:row>148</xdr:row>
                    <xdr:rowOff>12700</xdr:rowOff>
                  </from>
                  <to>
                    <xdr:col>0</xdr:col>
                    <xdr:colOff>368300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70" name="Check Box 178">
              <controlPr defaultSize="0" autoFill="0" autoLine="0" autoPict="0">
                <anchor moveWithCells="1">
                  <from>
                    <xdr:col>0</xdr:col>
                    <xdr:colOff>88900</xdr:colOff>
                    <xdr:row>118</xdr:row>
                    <xdr:rowOff>12700</xdr:rowOff>
                  </from>
                  <to>
                    <xdr:col>0</xdr:col>
                    <xdr:colOff>368300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71" name="Check Box 179">
              <controlPr defaultSize="0" autoFill="0" autoLine="0" autoPict="0">
                <anchor moveWithCells="1">
                  <from>
                    <xdr:col>0</xdr:col>
                    <xdr:colOff>88900</xdr:colOff>
                    <xdr:row>119</xdr:row>
                    <xdr:rowOff>12700</xdr:rowOff>
                  </from>
                  <to>
                    <xdr:col>0</xdr:col>
                    <xdr:colOff>368300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72" name="Check Box 180">
              <controlPr defaultSize="0" autoFill="0" autoLine="0" autoPict="0">
                <anchor moveWithCells="1">
                  <from>
                    <xdr:col>0</xdr:col>
                    <xdr:colOff>88900</xdr:colOff>
                    <xdr:row>120</xdr:row>
                    <xdr:rowOff>12700</xdr:rowOff>
                  </from>
                  <to>
                    <xdr:col>0</xdr:col>
                    <xdr:colOff>368300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73" name="Check Box 181">
              <controlPr defaultSize="0" autoFill="0" autoLine="0" autoPict="0">
                <anchor moveWithCells="1">
                  <from>
                    <xdr:col>0</xdr:col>
                    <xdr:colOff>88900</xdr:colOff>
                    <xdr:row>121</xdr:row>
                    <xdr:rowOff>12700</xdr:rowOff>
                  </from>
                  <to>
                    <xdr:col>0</xdr:col>
                    <xdr:colOff>368300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74" name="Check Box 182">
              <controlPr defaultSize="0" autoFill="0" autoLine="0" autoPict="0">
                <anchor moveWithCells="1">
                  <from>
                    <xdr:col>0</xdr:col>
                    <xdr:colOff>88900</xdr:colOff>
                    <xdr:row>167</xdr:row>
                    <xdr:rowOff>12700</xdr:rowOff>
                  </from>
                  <to>
                    <xdr:col>0</xdr:col>
                    <xdr:colOff>368300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75" name="Check Box 183">
              <controlPr defaultSize="0" autoFill="0" autoLine="0" autoPict="0">
                <anchor moveWithCells="1">
                  <from>
                    <xdr:col>0</xdr:col>
                    <xdr:colOff>88900</xdr:colOff>
                    <xdr:row>168</xdr:row>
                    <xdr:rowOff>12700</xdr:rowOff>
                  </from>
                  <to>
                    <xdr:col>0</xdr:col>
                    <xdr:colOff>368300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76" name="Check Box 184">
              <controlPr defaultSize="0" autoFill="0" autoLine="0" autoPict="0">
                <anchor moveWithCells="1">
                  <from>
                    <xdr:col>0</xdr:col>
                    <xdr:colOff>88900</xdr:colOff>
                    <xdr:row>169</xdr:row>
                    <xdr:rowOff>12700</xdr:rowOff>
                  </from>
                  <to>
                    <xdr:col>0</xdr:col>
                    <xdr:colOff>368300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77" name="Check Box 185">
              <controlPr defaultSize="0" autoFill="0" autoLine="0" autoPict="0">
                <anchor moveWithCells="1">
                  <from>
                    <xdr:col>0</xdr:col>
                    <xdr:colOff>88900</xdr:colOff>
                    <xdr:row>170</xdr:row>
                    <xdr:rowOff>12700</xdr:rowOff>
                  </from>
                  <to>
                    <xdr:col>0</xdr:col>
                    <xdr:colOff>368300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78" name="Check Box 186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79" name="Check Box 187">
              <controlPr defaultSize="0" autoFill="0" autoLine="0" autoPict="0">
                <anchor moveWithCells="1">
                  <from>
                    <xdr:col>0</xdr:col>
                    <xdr:colOff>88900</xdr:colOff>
                    <xdr:row>122</xdr:row>
                    <xdr:rowOff>12700</xdr:rowOff>
                  </from>
                  <to>
                    <xdr:col>0</xdr:col>
                    <xdr:colOff>368300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80" name="Check Box 188">
              <controlPr defaultSize="0" autoFill="0" autoLine="0" autoPict="0">
                <anchor moveWithCells="1">
                  <from>
                    <xdr:col>0</xdr:col>
                    <xdr:colOff>88900</xdr:colOff>
                    <xdr:row>171</xdr:row>
                    <xdr:rowOff>12700</xdr:rowOff>
                  </from>
                  <to>
                    <xdr:col>0</xdr:col>
                    <xdr:colOff>368300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81" name="Check Box 189">
              <controlPr defaultSize="0" autoFill="0" autoLine="0" autoPict="0">
                <anchor moveWithCells="1">
                  <from>
                    <xdr:col>0</xdr:col>
                    <xdr:colOff>88900</xdr:colOff>
                    <xdr:row>123</xdr:row>
                    <xdr:rowOff>12700</xdr:rowOff>
                  </from>
                  <to>
                    <xdr:col>0</xdr:col>
                    <xdr:colOff>368300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82" name="Check Box 190">
              <controlPr defaultSize="0" autoFill="0" autoLine="0" autoPict="0">
                <anchor moveWithCells="1">
                  <from>
                    <xdr:col>0</xdr:col>
                    <xdr:colOff>88900</xdr:colOff>
                    <xdr:row>124</xdr:row>
                    <xdr:rowOff>12700</xdr:rowOff>
                  </from>
                  <to>
                    <xdr:col>0</xdr:col>
                    <xdr:colOff>368300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83" name="Check Box 191">
              <controlPr defaultSize="0" autoFill="0" autoLine="0" autoPict="0">
                <anchor moveWithCells="1">
                  <from>
                    <xdr:col>0</xdr:col>
                    <xdr:colOff>88900</xdr:colOff>
                    <xdr:row>125</xdr:row>
                    <xdr:rowOff>12700</xdr:rowOff>
                  </from>
                  <to>
                    <xdr:col>0</xdr:col>
                    <xdr:colOff>368300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84" name="Check Box 192">
              <controlPr defaultSize="0" autoFill="0" autoLine="0" autoPict="0">
                <anchor moveWithCells="1">
                  <from>
                    <xdr:col>0</xdr:col>
                    <xdr:colOff>88900</xdr:colOff>
                    <xdr:row>126</xdr:row>
                    <xdr:rowOff>12700</xdr:rowOff>
                  </from>
                  <to>
                    <xdr:col>0</xdr:col>
                    <xdr:colOff>368300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85" name="Check Box 193">
              <controlPr defaultSize="0" autoFill="0" autoLine="0" autoPict="0">
                <anchor moveWithCells="1">
                  <from>
                    <xdr:col>0</xdr:col>
                    <xdr:colOff>88900</xdr:colOff>
                    <xdr:row>127</xdr:row>
                    <xdr:rowOff>12700</xdr:rowOff>
                  </from>
                  <to>
                    <xdr:col>0</xdr:col>
                    <xdr:colOff>368300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86" name="Check Box 194">
              <controlPr defaultSize="0" autoFill="0" autoLine="0" autoPict="0">
                <anchor moveWithCells="1">
                  <from>
                    <xdr:col>0</xdr:col>
                    <xdr:colOff>88900</xdr:colOff>
                    <xdr:row>128</xdr:row>
                    <xdr:rowOff>12700</xdr:rowOff>
                  </from>
                  <to>
                    <xdr:col>0</xdr:col>
                    <xdr:colOff>368300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87" name="Check Box 195">
              <controlPr defaultSize="0" autoFill="0" autoLine="0" autoPict="0">
                <anchor moveWithCells="1">
                  <from>
                    <xdr:col>0</xdr:col>
                    <xdr:colOff>88900</xdr:colOff>
                    <xdr:row>129</xdr:row>
                    <xdr:rowOff>12700</xdr:rowOff>
                  </from>
                  <to>
                    <xdr:col>0</xdr:col>
                    <xdr:colOff>368300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88" name="Check Box 196">
              <controlPr defaultSize="0" autoFill="0" autoLine="0" autoPict="0">
                <anchor moveWithCells="1">
                  <from>
                    <xdr:col>0</xdr:col>
                    <xdr:colOff>88900</xdr:colOff>
                    <xdr:row>130</xdr:row>
                    <xdr:rowOff>12700</xdr:rowOff>
                  </from>
                  <to>
                    <xdr:col>0</xdr:col>
                    <xdr:colOff>368300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89" name="Check Box 197">
              <controlPr defaultSize="0" autoFill="0" autoLine="0" autoPict="0">
                <anchor moveWithCells="1">
                  <from>
                    <xdr:col>0</xdr:col>
                    <xdr:colOff>88900</xdr:colOff>
                    <xdr:row>172</xdr:row>
                    <xdr:rowOff>12700</xdr:rowOff>
                  </from>
                  <to>
                    <xdr:col>0</xdr:col>
                    <xdr:colOff>368300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90" name="Check Box 198">
              <controlPr defaultSize="0" autoFill="0" autoLine="0" autoPict="0">
                <anchor moveWithCells="1">
                  <from>
                    <xdr:col>0</xdr:col>
                    <xdr:colOff>88900</xdr:colOff>
                    <xdr:row>131</xdr:row>
                    <xdr:rowOff>12700</xdr:rowOff>
                  </from>
                  <to>
                    <xdr:col>0</xdr:col>
                    <xdr:colOff>368300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91" name="Check Box 199">
              <controlPr defaultSize="0" autoFill="0" autoLine="0" autoPict="0">
                <anchor moveWithCells="1">
                  <from>
                    <xdr:col>0</xdr:col>
                    <xdr:colOff>88900</xdr:colOff>
                    <xdr:row>173</xdr:row>
                    <xdr:rowOff>12700</xdr:rowOff>
                  </from>
                  <to>
                    <xdr:col>0</xdr:col>
                    <xdr:colOff>368300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92" name="Check Box 200">
              <controlPr defaultSize="0" autoFill="0" autoLine="0" autoPict="0">
                <anchor moveWithCells="1">
                  <from>
                    <xdr:col>0</xdr:col>
                    <xdr:colOff>88900</xdr:colOff>
                    <xdr:row>132</xdr:row>
                    <xdr:rowOff>12700</xdr:rowOff>
                  </from>
                  <to>
                    <xdr:col>0</xdr:col>
                    <xdr:colOff>368300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93" name="Check Box 201">
              <controlPr defaultSize="0" autoFill="0" autoLine="0" autoPict="0">
                <anchor moveWithCells="1">
                  <from>
                    <xdr:col>0</xdr:col>
                    <xdr:colOff>88900</xdr:colOff>
                    <xdr:row>133</xdr:row>
                    <xdr:rowOff>12700</xdr:rowOff>
                  </from>
                  <to>
                    <xdr:col>0</xdr:col>
                    <xdr:colOff>368300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94" name="Check Box 202">
              <controlPr defaultSize="0" autoFill="0" autoLine="0" autoPict="0">
                <anchor moveWithCells="1">
                  <from>
                    <xdr:col>0</xdr:col>
                    <xdr:colOff>88900</xdr:colOff>
                    <xdr:row>134</xdr:row>
                    <xdr:rowOff>12700</xdr:rowOff>
                  </from>
                  <to>
                    <xdr:col>0</xdr:col>
                    <xdr:colOff>368300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95" name="Check Box 203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96" name="Check Box 204">
              <controlPr defaultSize="0" autoFill="0" autoLine="0" autoPict="0">
                <anchor moveWithCells="1">
                  <from>
                    <xdr:col>0</xdr:col>
                    <xdr:colOff>88900</xdr:colOff>
                    <xdr:row>174</xdr:row>
                    <xdr:rowOff>12700</xdr:rowOff>
                  </from>
                  <to>
                    <xdr:col>0</xdr:col>
                    <xdr:colOff>368300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97" name="Check Box 205">
              <controlPr defaultSize="0" autoFill="0" autoLine="0" autoPict="0">
                <anchor moveWithCells="1">
                  <from>
                    <xdr:col>0</xdr:col>
                    <xdr:colOff>88900</xdr:colOff>
                    <xdr:row>135</xdr:row>
                    <xdr:rowOff>12700</xdr:rowOff>
                  </from>
                  <to>
                    <xdr:col>0</xdr:col>
                    <xdr:colOff>368300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98" name="Check Box 206">
              <controlPr defaultSize="0" autoFill="0" autoLine="0" autoPict="0">
                <anchor moveWithCells="1">
                  <from>
                    <xdr:col>0</xdr:col>
                    <xdr:colOff>88900</xdr:colOff>
                    <xdr:row>175</xdr:row>
                    <xdr:rowOff>12700</xdr:rowOff>
                  </from>
                  <to>
                    <xdr:col>0</xdr:col>
                    <xdr:colOff>368300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99" name="Check Box 207">
              <controlPr defaultSize="0" autoFill="0" autoLine="0" autoPict="0">
                <anchor moveWithCells="1">
                  <from>
                    <xdr:col>0</xdr:col>
                    <xdr:colOff>88900</xdr:colOff>
                    <xdr:row>136</xdr:row>
                    <xdr:rowOff>12700</xdr:rowOff>
                  </from>
                  <to>
                    <xdr:col>0</xdr:col>
                    <xdr:colOff>368300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00" name="Check Box 208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01" name="Check Box 209">
              <controlPr defaultSize="0" autoFill="0" autoLine="0" autoPict="0">
                <anchor moveWithCells="1">
                  <from>
                    <xdr:col>0</xdr:col>
                    <xdr:colOff>88900</xdr:colOff>
                    <xdr:row>176</xdr:row>
                    <xdr:rowOff>12700</xdr:rowOff>
                  </from>
                  <to>
                    <xdr:col>0</xdr:col>
                    <xdr:colOff>368300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02" name="Check Box 210">
              <controlPr defaultSize="0" autoFill="0" autoLine="0" autoPict="0">
                <anchor moveWithCells="1">
                  <from>
                    <xdr:col>0</xdr:col>
                    <xdr:colOff>88900</xdr:colOff>
                    <xdr:row>177</xdr:row>
                    <xdr:rowOff>12700</xdr:rowOff>
                  </from>
                  <to>
                    <xdr:col>0</xdr:col>
                    <xdr:colOff>368300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03" name="Check Box 211">
              <controlPr defaultSize="0" autoFill="0" autoLine="0" autoPict="0">
                <anchor moveWithCells="1">
                  <from>
                    <xdr:col>0</xdr:col>
                    <xdr:colOff>88900</xdr:colOff>
                    <xdr:row>137</xdr:row>
                    <xdr:rowOff>12700</xdr:rowOff>
                  </from>
                  <to>
                    <xdr:col>0</xdr:col>
                    <xdr:colOff>368300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04" name="Check Box 212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05" name="Check Box 213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06" name="Check Box 214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07" name="Check Box 215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08" name="Check Box 216">
              <controlPr defaultSize="0" autoFill="0" autoLine="0" autoPict="0">
                <anchor moveWithCells="1">
                  <from>
                    <xdr:col>0</xdr:col>
                    <xdr:colOff>88900</xdr:colOff>
                    <xdr:row>138</xdr:row>
                    <xdr:rowOff>12700</xdr:rowOff>
                  </from>
                  <to>
                    <xdr:col>0</xdr:col>
                    <xdr:colOff>368300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09" name="Check Box 217">
              <controlPr defaultSize="0" autoFill="0" autoLine="0" autoPict="0">
                <anchor moveWithCells="1">
                  <from>
                    <xdr:col>0</xdr:col>
                    <xdr:colOff>88900</xdr:colOff>
                    <xdr:row>139</xdr:row>
                    <xdr:rowOff>12700</xdr:rowOff>
                  </from>
                  <to>
                    <xdr:col>0</xdr:col>
                    <xdr:colOff>368300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10" name="Check Box 218">
              <controlPr defaultSize="0" autoFill="0" autoLine="0" autoPict="0">
                <anchor moveWithCells="1">
                  <from>
                    <xdr:col>0</xdr:col>
                    <xdr:colOff>88900</xdr:colOff>
                    <xdr:row>149</xdr:row>
                    <xdr:rowOff>12700</xdr:rowOff>
                  </from>
                  <to>
                    <xdr:col>0</xdr:col>
                    <xdr:colOff>368300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11" name="Check Box 219">
              <controlPr defaultSize="0" autoFill="0" autoLine="0" autoPict="0">
                <anchor moveWithCells="1">
                  <from>
                    <xdr:col>0</xdr:col>
                    <xdr:colOff>88900</xdr:colOff>
                    <xdr:row>178</xdr:row>
                    <xdr:rowOff>12700</xdr:rowOff>
                  </from>
                  <to>
                    <xdr:col>0</xdr:col>
                    <xdr:colOff>368300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12" name="Check Box 220">
              <controlPr defaultSize="0" autoFill="0" autoLine="0" autoPict="0">
                <anchor moveWithCells="1">
                  <from>
                    <xdr:col>0</xdr:col>
                    <xdr:colOff>88900</xdr:colOff>
                    <xdr:row>179</xdr:row>
                    <xdr:rowOff>12700</xdr:rowOff>
                  </from>
                  <to>
                    <xdr:col>0</xdr:col>
                    <xdr:colOff>368300</xdr:colOff>
                    <xdr:row>180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A868-0BC6-DD41-AC1A-9A36BB1FEA96}">
  <sheetPr codeName="Sheet3"/>
  <dimension ref="A1"/>
  <sheetViews>
    <sheetView zoomScaleNormal="100" workbookViewId="0"/>
  </sheetViews>
  <sheetFormatPr baseColWidth="10" defaultColWidth="11.5" defaultRowHeight="1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5F004-CC5B-7E4E-AA4C-CE2BD681D445}">
  <sheetPr codeName="Sheet4"/>
  <dimension ref="A1:C183"/>
  <sheetViews>
    <sheetView zoomScale="150" zoomScaleNormal="150" workbookViewId="0"/>
  </sheetViews>
  <sheetFormatPr baseColWidth="10" defaultColWidth="11.5" defaultRowHeight="15" x14ac:dyDescent="0.2"/>
  <cols>
    <col min="1" max="1" width="50.83203125" bestFit="1" customWidth="1"/>
    <col min="2" max="2" width="43.5" bestFit="1" customWidth="1"/>
    <col min="3" max="3" width="20.1640625" bestFit="1" customWidth="1"/>
  </cols>
  <sheetData>
    <row r="1" spans="1:3" x14ac:dyDescent="0.2">
      <c r="A1" t="s">
        <v>548</v>
      </c>
      <c r="B1" t="s">
        <v>948</v>
      </c>
      <c r="C1" t="s">
        <v>949</v>
      </c>
    </row>
    <row r="2" spans="1:3" x14ac:dyDescent="0.2">
      <c r="A2" t="s">
        <v>671</v>
      </c>
      <c r="B2" t="s">
        <v>929</v>
      </c>
      <c r="C2" t="s">
        <v>672</v>
      </c>
    </row>
    <row r="3" spans="1:3" x14ac:dyDescent="0.2">
      <c r="A3" t="s">
        <v>431</v>
      </c>
      <c r="B3" t="s">
        <v>729</v>
      </c>
      <c r="C3" t="s">
        <v>730</v>
      </c>
    </row>
    <row r="4" spans="1:3" x14ac:dyDescent="0.2">
      <c r="A4" t="s">
        <v>432</v>
      </c>
      <c r="B4" t="s">
        <v>737</v>
      </c>
      <c r="C4" t="s">
        <v>734</v>
      </c>
    </row>
    <row r="5" spans="1:3" x14ac:dyDescent="0.2">
      <c r="A5" t="s">
        <v>681</v>
      </c>
      <c r="B5" t="s">
        <v>791</v>
      </c>
      <c r="C5" t="s">
        <v>792</v>
      </c>
    </row>
    <row r="6" spans="1:3" x14ac:dyDescent="0.2">
      <c r="A6" t="s">
        <v>665</v>
      </c>
      <c r="B6" t="s">
        <v>938</v>
      </c>
      <c r="C6" t="s">
        <v>939</v>
      </c>
    </row>
    <row r="7" spans="1:3" x14ac:dyDescent="0.2">
      <c r="A7" t="s">
        <v>433</v>
      </c>
      <c r="B7" t="s">
        <v>758</v>
      </c>
      <c r="C7" t="s">
        <v>434</v>
      </c>
    </row>
    <row r="8" spans="1:3" x14ac:dyDescent="0.2">
      <c r="A8" t="s">
        <v>435</v>
      </c>
      <c r="B8" t="s">
        <v>918</v>
      </c>
      <c r="C8" t="s">
        <v>436</v>
      </c>
    </row>
    <row r="9" spans="1:3" x14ac:dyDescent="0.2">
      <c r="A9" t="s">
        <v>667</v>
      </c>
      <c r="B9" t="s">
        <v>850</v>
      </c>
      <c r="C9" t="s">
        <v>436</v>
      </c>
    </row>
    <row r="10" spans="1:3" x14ac:dyDescent="0.2">
      <c r="A10" t="s">
        <v>437</v>
      </c>
      <c r="B10" t="s">
        <v>941</v>
      </c>
      <c r="C10" t="s">
        <v>438</v>
      </c>
    </row>
    <row r="11" spans="1:3" x14ac:dyDescent="0.2">
      <c r="A11" t="s">
        <v>439</v>
      </c>
      <c r="B11" t="s">
        <v>859</v>
      </c>
      <c r="C11" t="s">
        <v>860</v>
      </c>
    </row>
    <row r="12" spans="1:3" x14ac:dyDescent="0.2">
      <c r="A12" t="s">
        <v>440</v>
      </c>
      <c r="B12" t="s">
        <v>893</v>
      </c>
      <c r="C12" t="s">
        <v>734</v>
      </c>
    </row>
    <row r="13" spans="1:3" x14ac:dyDescent="0.2">
      <c r="A13" t="s">
        <v>441</v>
      </c>
      <c r="B13" t="s">
        <v>898</v>
      </c>
      <c r="C13" t="s">
        <v>442</v>
      </c>
    </row>
    <row r="14" spans="1:3" x14ac:dyDescent="0.2">
      <c r="A14" t="s">
        <v>443</v>
      </c>
      <c r="B14" t="s">
        <v>904</v>
      </c>
      <c r="C14" t="s">
        <v>734</v>
      </c>
    </row>
    <row r="15" spans="1:3" x14ac:dyDescent="0.2">
      <c r="A15" t="s">
        <v>444</v>
      </c>
      <c r="B15" t="s">
        <v>861</v>
      </c>
      <c r="C15" t="s">
        <v>862</v>
      </c>
    </row>
    <row r="16" spans="1:3" x14ac:dyDescent="0.2">
      <c r="A16" t="s">
        <v>445</v>
      </c>
      <c r="B16" t="s">
        <v>811</v>
      </c>
      <c r="C16" t="s">
        <v>730</v>
      </c>
    </row>
    <row r="17" spans="1:3" x14ac:dyDescent="0.2">
      <c r="A17" t="s">
        <v>446</v>
      </c>
      <c r="B17" t="s">
        <v>747</v>
      </c>
      <c r="C17" t="s">
        <v>447</v>
      </c>
    </row>
    <row r="18" spans="1:3" x14ac:dyDescent="0.2">
      <c r="A18" t="s">
        <v>448</v>
      </c>
      <c r="B18" t="s">
        <v>759</v>
      </c>
      <c r="C18" t="s">
        <v>734</v>
      </c>
    </row>
    <row r="19" spans="1:3" x14ac:dyDescent="0.2">
      <c r="A19" t="s">
        <v>449</v>
      </c>
      <c r="B19" t="s">
        <v>727</v>
      </c>
      <c r="C19" t="s">
        <v>728</v>
      </c>
    </row>
    <row r="20" spans="1:3" x14ac:dyDescent="0.2">
      <c r="A20" t="s">
        <v>668</v>
      </c>
      <c r="B20" t="s">
        <v>746</v>
      </c>
      <c r="C20" t="s">
        <v>514</v>
      </c>
    </row>
    <row r="21" spans="1:3" x14ac:dyDescent="0.2">
      <c r="A21" t="s">
        <v>450</v>
      </c>
      <c r="B21" t="s">
        <v>887</v>
      </c>
      <c r="C21" t="s">
        <v>438</v>
      </c>
    </row>
    <row r="22" spans="1:3" x14ac:dyDescent="0.2">
      <c r="A22" t="s">
        <v>451</v>
      </c>
      <c r="B22" t="s">
        <v>738</v>
      </c>
      <c r="C22" t="s">
        <v>438</v>
      </c>
    </row>
    <row r="23" spans="1:3" x14ac:dyDescent="0.2">
      <c r="A23" t="s">
        <v>452</v>
      </c>
      <c r="B23" t="s">
        <v>736</v>
      </c>
      <c r="C23" t="s">
        <v>438</v>
      </c>
    </row>
    <row r="24" spans="1:3" x14ac:dyDescent="0.2">
      <c r="A24" t="s">
        <v>453</v>
      </c>
      <c r="B24" t="s">
        <v>890</v>
      </c>
      <c r="C24" t="s">
        <v>438</v>
      </c>
    </row>
    <row r="25" spans="1:3" x14ac:dyDescent="0.2">
      <c r="A25" t="s">
        <v>454</v>
      </c>
      <c r="B25" t="s">
        <v>923</v>
      </c>
      <c r="C25" t="s">
        <v>438</v>
      </c>
    </row>
    <row r="26" spans="1:3" x14ac:dyDescent="0.2">
      <c r="A26" t="s">
        <v>669</v>
      </c>
      <c r="B26" t="s">
        <v>808</v>
      </c>
      <c r="C26" t="s">
        <v>809</v>
      </c>
    </row>
    <row r="27" spans="1:3" x14ac:dyDescent="0.2">
      <c r="A27" t="s">
        <v>455</v>
      </c>
      <c r="B27" t="s">
        <v>789</v>
      </c>
      <c r="C27" t="s">
        <v>456</v>
      </c>
    </row>
    <row r="28" spans="1:3" x14ac:dyDescent="0.2">
      <c r="A28" t="s">
        <v>457</v>
      </c>
      <c r="B28" t="s">
        <v>910</v>
      </c>
      <c r="C28" t="s">
        <v>734</v>
      </c>
    </row>
    <row r="29" spans="1:3" x14ac:dyDescent="0.2">
      <c r="A29" t="s">
        <v>670</v>
      </c>
      <c r="B29" t="s">
        <v>919</v>
      </c>
      <c r="C29" t="s">
        <v>734</v>
      </c>
    </row>
    <row r="30" spans="1:3" x14ac:dyDescent="0.2">
      <c r="A30" t="s">
        <v>459</v>
      </c>
      <c r="B30" t="s">
        <v>750</v>
      </c>
      <c r="C30" t="s">
        <v>460</v>
      </c>
    </row>
    <row r="31" spans="1:3" x14ac:dyDescent="0.2">
      <c r="A31" t="s">
        <v>461</v>
      </c>
      <c r="B31" t="s">
        <v>786</v>
      </c>
      <c r="C31" t="s">
        <v>438</v>
      </c>
    </row>
    <row r="32" spans="1:3" x14ac:dyDescent="0.2">
      <c r="A32" t="s">
        <v>462</v>
      </c>
      <c r="B32" t="s">
        <v>764</v>
      </c>
      <c r="C32" t="s">
        <v>463</v>
      </c>
    </row>
    <row r="33" spans="1:3" x14ac:dyDescent="0.2">
      <c r="A33" t="s">
        <v>458</v>
      </c>
      <c r="B33" t="s">
        <v>908</v>
      </c>
      <c r="C33" t="s">
        <v>438</v>
      </c>
    </row>
    <row r="34" spans="1:3" x14ac:dyDescent="0.2">
      <c r="A34" t="s">
        <v>464</v>
      </c>
      <c r="B34" t="s">
        <v>891</v>
      </c>
      <c r="C34" t="s">
        <v>465</v>
      </c>
    </row>
    <row r="35" spans="1:3" x14ac:dyDescent="0.2">
      <c r="A35" t="s">
        <v>466</v>
      </c>
      <c r="B35" t="s">
        <v>932</v>
      </c>
      <c r="C35" t="s">
        <v>933</v>
      </c>
    </row>
    <row r="36" spans="1:3" x14ac:dyDescent="0.2">
      <c r="A36" t="s">
        <v>467</v>
      </c>
      <c r="B36" t="s">
        <v>763</v>
      </c>
      <c r="C36" t="s">
        <v>468</v>
      </c>
    </row>
    <row r="37" spans="1:3" x14ac:dyDescent="0.2">
      <c r="A37" t="s">
        <v>469</v>
      </c>
      <c r="B37" t="s">
        <v>794</v>
      </c>
      <c r="C37" t="s">
        <v>470</v>
      </c>
    </row>
    <row r="38" spans="1:3" x14ac:dyDescent="0.2">
      <c r="A38" t="s">
        <v>471</v>
      </c>
      <c r="B38" t="s">
        <v>796</v>
      </c>
      <c r="C38" t="s">
        <v>463</v>
      </c>
    </row>
    <row r="39" spans="1:3" x14ac:dyDescent="0.2">
      <c r="A39" t="s">
        <v>473</v>
      </c>
      <c r="B39" t="s">
        <v>785</v>
      </c>
      <c r="C39" t="s">
        <v>474</v>
      </c>
    </row>
    <row r="40" spans="1:3" x14ac:dyDescent="0.2">
      <c r="A40" t="s">
        <v>475</v>
      </c>
      <c r="B40" t="s">
        <v>900</v>
      </c>
      <c r="C40" t="s">
        <v>901</v>
      </c>
    </row>
    <row r="41" spans="1:3" x14ac:dyDescent="0.2">
      <c r="A41" t="s">
        <v>476</v>
      </c>
      <c r="B41" t="s">
        <v>803</v>
      </c>
      <c r="C41" t="s">
        <v>477</v>
      </c>
    </row>
    <row r="42" spans="1:3" x14ac:dyDescent="0.2">
      <c r="A42" t="s">
        <v>478</v>
      </c>
      <c r="B42" t="s">
        <v>783</v>
      </c>
      <c r="C42" t="s">
        <v>438</v>
      </c>
    </row>
    <row r="43" spans="1:3" x14ac:dyDescent="0.2">
      <c r="A43" t="s">
        <v>479</v>
      </c>
      <c r="B43" t="s">
        <v>779</v>
      </c>
      <c r="C43" t="s">
        <v>480</v>
      </c>
    </row>
    <row r="44" spans="1:3" x14ac:dyDescent="0.2">
      <c r="A44" t="s">
        <v>481</v>
      </c>
      <c r="B44" t="s">
        <v>906</v>
      </c>
      <c r="C44" t="s">
        <v>482</v>
      </c>
    </row>
    <row r="45" spans="1:3" x14ac:dyDescent="0.2">
      <c r="A45" t="s">
        <v>483</v>
      </c>
      <c r="B45" t="s">
        <v>761</v>
      </c>
      <c r="C45" t="s">
        <v>734</v>
      </c>
    </row>
    <row r="46" spans="1:3" x14ac:dyDescent="0.2">
      <c r="A46" t="s">
        <v>484</v>
      </c>
      <c r="B46" t="s">
        <v>802</v>
      </c>
      <c r="C46" t="s">
        <v>485</v>
      </c>
    </row>
    <row r="47" spans="1:3" x14ac:dyDescent="0.2">
      <c r="A47" t="s">
        <v>486</v>
      </c>
      <c r="B47" t="s">
        <v>825</v>
      </c>
      <c r="C47" t="s">
        <v>436</v>
      </c>
    </row>
    <row r="48" spans="1:3" x14ac:dyDescent="0.2">
      <c r="A48" t="s">
        <v>487</v>
      </c>
      <c r="B48" t="s">
        <v>777</v>
      </c>
      <c r="C48" t="s">
        <v>436</v>
      </c>
    </row>
    <row r="49" spans="1:3" x14ac:dyDescent="0.2">
      <c r="A49" t="s">
        <v>488</v>
      </c>
      <c r="B49" t="s">
        <v>883</v>
      </c>
      <c r="C49" t="s">
        <v>489</v>
      </c>
    </row>
    <row r="50" spans="1:3" x14ac:dyDescent="0.2">
      <c r="A50" t="s">
        <v>490</v>
      </c>
      <c r="B50" t="s">
        <v>945</v>
      </c>
      <c r="C50" t="s">
        <v>491</v>
      </c>
    </row>
    <row r="51" spans="1:3" x14ac:dyDescent="0.2">
      <c r="A51" t="s">
        <v>876</v>
      </c>
      <c r="B51" t="s">
        <v>877</v>
      </c>
      <c r="C51" t="s">
        <v>438</v>
      </c>
    </row>
    <row r="52" spans="1:3" x14ac:dyDescent="0.2">
      <c r="A52" t="s">
        <v>492</v>
      </c>
      <c r="B52" t="s">
        <v>799</v>
      </c>
      <c r="C52" t="s">
        <v>493</v>
      </c>
    </row>
    <row r="53" spans="1:3" x14ac:dyDescent="0.2">
      <c r="A53" t="s">
        <v>494</v>
      </c>
      <c r="B53" t="s">
        <v>799</v>
      </c>
      <c r="C53" t="s">
        <v>495</v>
      </c>
    </row>
    <row r="54" spans="1:3" x14ac:dyDescent="0.2">
      <c r="A54" t="s">
        <v>924</v>
      </c>
      <c r="B54" t="s">
        <v>925</v>
      </c>
      <c r="C54" t="s">
        <v>926</v>
      </c>
    </row>
    <row r="55" spans="1:3" x14ac:dyDescent="0.2">
      <c r="A55" t="s">
        <v>496</v>
      </c>
      <c r="B55" t="s">
        <v>805</v>
      </c>
      <c r="C55" t="s">
        <v>438</v>
      </c>
    </row>
    <row r="56" spans="1:3" x14ac:dyDescent="0.2">
      <c r="A56" t="s">
        <v>497</v>
      </c>
      <c r="B56" t="s">
        <v>790</v>
      </c>
      <c r="C56" t="s">
        <v>438</v>
      </c>
    </row>
    <row r="57" spans="1:3" x14ac:dyDescent="0.2">
      <c r="A57" t="s">
        <v>498</v>
      </c>
      <c r="B57" t="s">
        <v>745</v>
      </c>
      <c r="C57" t="s">
        <v>460</v>
      </c>
    </row>
    <row r="58" spans="1:3" x14ac:dyDescent="0.2">
      <c r="A58" t="s">
        <v>499</v>
      </c>
      <c r="B58" t="s">
        <v>873</v>
      </c>
      <c r="C58" t="s">
        <v>472</v>
      </c>
    </row>
    <row r="59" spans="1:3" x14ac:dyDescent="0.2">
      <c r="A59" t="s">
        <v>500</v>
      </c>
      <c r="B59" t="s">
        <v>875</v>
      </c>
      <c r="C59" t="s">
        <v>436</v>
      </c>
    </row>
    <row r="60" spans="1:3" x14ac:dyDescent="0.2">
      <c r="A60" t="s">
        <v>501</v>
      </c>
      <c r="B60" t="s">
        <v>872</v>
      </c>
      <c r="C60" t="s">
        <v>436</v>
      </c>
    </row>
    <row r="61" spans="1:3" x14ac:dyDescent="0.2">
      <c r="A61" t="s">
        <v>502</v>
      </c>
      <c r="B61" t="s">
        <v>896</v>
      </c>
      <c r="C61" t="s">
        <v>438</v>
      </c>
    </row>
    <row r="62" spans="1:3" x14ac:dyDescent="0.2">
      <c r="A62" t="s">
        <v>503</v>
      </c>
      <c r="B62" t="s">
        <v>765</v>
      </c>
      <c r="C62" t="s">
        <v>766</v>
      </c>
    </row>
    <row r="63" spans="1:3" x14ac:dyDescent="0.2">
      <c r="A63" t="s">
        <v>504</v>
      </c>
      <c r="B63" t="s">
        <v>903</v>
      </c>
      <c r="C63" t="s">
        <v>734</v>
      </c>
    </row>
    <row r="64" spans="1:3" x14ac:dyDescent="0.2">
      <c r="A64" t="s">
        <v>505</v>
      </c>
      <c r="B64" t="s">
        <v>832</v>
      </c>
      <c r="C64" t="s">
        <v>438</v>
      </c>
    </row>
    <row r="65" spans="1:3" x14ac:dyDescent="0.2">
      <c r="A65" t="s">
        <v>676</v>
      </c>
      <c r="B65" t="s">
        <v>874</v>
      </c>
      <c r="C65" t="s">
        <v>489</v>
      </c>
    </row>
    <row r="66" spans="1:3" x14ac:dyDescent="0.2">
      <c r="A66" t="s">
        <v>677</v>
      </c>
      <c r="B66" t="s">
        <v>869</v>
      </c>
      <c r="C66" t="s">
        <v>734</v>
      </c>
    </row>
    <row r="67" spans="1:3" x14ac:dyDescent="0.2">
      <c r="A67" t="s">
        <v>678</v>
      </c>
      <c r="B67" t="s">
        <v>830</v>
      </c>
      <c r="C67" t="s">
        <v>831</v>
      </c>
    </row>
    <row r="68" spans="1:3" x14ac:dyDescent="0.2">
      <c r="A68" t="s">
        <v>506</v>
      </c>
      <c r="B68" t="s">
        <v>894</v>
      </c>
      <c r="C68" t="s">
        <v>895</v>
      </c>
    </row>
    <row r="69" spans="1:3" x14ac:dyDescent="0.2">
      <c r="A69" t="s">
        <v>507</v>
      </c>
      <c r="B69" t="s">
        <v>892</v>
      </c>
      <c r="C69" t="s">
        <v>436</v>
      </c>
    </row>
    <row r="70" spans="1:3" x14ac:dyDescent="0.2">
      <c r="A70" t="s">
        <v>508</v>
      </c>
      <c r="B70" t="s">
        <v>920</v>
      </c>
      <c r="C70" t="s">
        <v>509</v>
      </c>
    </row>
    <row r="71" spans="1:3" x14ac:dyDescent="0.2">
      <c r="A71" t="s">
        <v>510</v>
      </c>
      <c r="B71" t="s">
        <v>813</v>
      </c>
      <c r="C71" t="s">
        <v>460</v>
      </c>
    </row>
    <row r="72" spans="1:3" x14ac:dyDescent="0.2">
      <c r="A72" t="s">
        <v>511</v>
      </c>
      <c r="B72" t="s">
        <v>769</v>
      </c>
      <c r="C72" t="s">
        <v>512</v>
      </c>
    </row>
    <row r="73" spans="1:3" x14ac:dyDescent="0.2">
      <c r="A73" t="s">
        <v>513</v>
      </c>
      <c r="B73" t="s">
        <v>854</v>
      </c>
      <c r="C73" t="s">
        <v>855</v>
      </c>
    </row>
    <row r="74" spans="1:3" x14ac:dyDescent="0.2">
      <c r="A74" t="s">
        <v>515</v>
      </c>
      <c r="B74" t="s">
        <v>768</v>
      </c>
      <c r="C74" t="s">
        <v>516</v>
      </c>
    </row>
    <row r="75" spans="1:3" x14ac:dyDescent="0.2">
      <c r="A75" t="s">
        <v>518</v>
      </c>
      <c r="B75" t="s">
        <v>940</v>
      </c>
      <c r="C75" t="s">
        <v>734</v>
      </c>
    </row>
    <row r="76" spans="1:3" x14ac:dyDescent="0.2">
      <c r="A76" t="s">
        <v>517</v>
      </c>
      <c r="B76" t="s">
        <v>944</v>
      </c>
      <c r="C76" t="s">
        <v>493</v>
      </c>
    </row>
    <row r="77" spans="1:3" x14ac:dyDescent="0.2">
      <c r="A77" t="s">
        <v>519</v>
      </c>
      <c r="B77" t="s">
        <v>840</v>
      </c>
      <c r="C77" t="s">
        <v>520</v>
      </c>
    </row>
    <row r="78" spans="1:3" x14ac:dyDescent="0.2">
      <c r="A78" t="s">
        <v>521</v>
      </c>
      <c r="B78" t="s">
        <v>829</v>
      </c>
      <c r="C78" t="s">
        <v>734</v>
      </c>
    </row>
    <row r="79" spans="1:3" x14ac:dyDescent="0.2">
      <c r="A79" t="s">
        <v>522</v>
      </c>
      <c r="B79" t="s">
        <v>897</v>
      </c>
      <c r="C79" t="s">
        <v>438</v>
      </c>
    </row>
    <row r="80" spans="1:3" x14ac:dyDescent="0.2">
      <c r="A80" t="s">
        <v>675</v>
      </c>
      <c r="B80" t="s">
        <v>886</v>
      </c>
      <c r="C80" t="s">
        <v>460</v>
      </c>
    </row>
    <row r="81" spans="1:3" x14ac:dyDescent="0.2">
      <c r="A81" t="s">
        <v>523</v>
      </c>
      <c r="B81" t="s">
        <v>882</v>
      </c>
      <c r="C81" t="s">
        <v>524</v>
      </c>
    </row>
    <row r="82" spans="1:3" x14ac:dyDescent="0.2">
      <c r="A82" t="s">
        <v>525</v>
      </c>
      <c r="B82" t="s">
        <v>778</v>
      </c>
      <c r="C82" t="s">
        <v>766</v>
      </c>
    </row>
    <row r="83" spans="1:3" x14ac:dyDescent="0.2">
      <c r="A83" t="s">
        <v>683</v>
      </c>
      <c r="B83" t="s">
        <v>782</v>
      </c>
      <c r="C83" t="s">
        <v>472</v>
      </c>
    </row>
    <row r="84" spans="1:3" x14ac:dyDescent="0.2">
      <c r="A84" t="s">
        <v>526</v>
      </c>
      <c r="B84" t="s">
        <v>742</v>
      </c>
      <c r="C84" t="s">
        <v>743</v>
      </c>
    </row>
    <row r="85" spans="1:3" x14ac:dyDescent="0.2">
      <c r="A85" t="s">
        <v>527</v>
      </c>
      <c r="B85" t="s">
        <v>772</v>
      </c>
      <c r="C85" t="s">
        <v>528</v>
      </c>
    </row>
    <row r="86" spans="1:3" x14ac:dyDescent="0.2">
      <c r="A86" t="s">
        <v>533</v>
      </c>
      <c r="B86" t="s">
        <v>931</v>
      </c>
      <c r="C86" t="s">
        <v>470</v>
      </c>
    </row>
    <row r="87" spans="1:3" x14ac:dyDescent="0.2">
      <c r="A87" t="s">
        <v>534</v>
      </c>
      <c r="B87" t="s">
        <v>849</v>
      </c>
      <c r="C87" t="s">
        <v>470</v>
      </c>
    </row>
    <row r="88" spans="1:3" x14ac:dyDescent="0.2">
      <c r="A88" t="s">
        <v>535</v>
      </c>
      <c r="B88" t="s">
        <v>884</v>
      </c>
      <c r="C88" t="s">
        <v>468</v>
      </c>
    </row>
    <row r="89" spans="1:3" x14ac:dyDescent="0.2">
      <c r="A89" t="s">
        <v>536</v>
      </c>
      <c r="B89" t="s">
        <v>810</v>
      </c>
      <c r="C89" t="s">
        <v>470</v>
      </c>
    </row>
    <row r="90" spans="1:3" x14ac:dyDescent="0.2">
      <c r="A90" t="s">
        <v>537</v>
      </c>
      <c r="B90" t="s">
        <v>841</v>
      </c>
      <c r="C90" t="s">
        <v>470</v>
      </c>
    </row>
    <row r="91" spans="1:3" x14ac:dyDescent="0.2">
      <c r="A91" t="s">
        <v>538</v>
      </c>
      <c r="B91" t="s">
        <v>784</v>
      </c>
      <c r="C91" t="s">
        <v>470</v>
      </c>
    </row>
    <row r="92" spans="1:3" x14ac:dyDescent="0.2">
      <c r="A92" t="s">
        <v>539</v>
      </c>
      <c r="B92" t="s">
        <v>812</v>
      </c>
      <c r="C92" t="s">
        <v>470</v>
      </c>
    </row>
    <row r="93" spans="1:3" x14ac:dyDescent="0.2">
      <c r="A93" t="s">
        <v>540</v>
      </c>
      <c r="B93" t="s">
        <v>818</v>
      </c>
      <c r="C93" t="s">
        <v>468</v>
      </c>
    </row>
    <row r="94" spans="1:3" x14ac:dyDescent="0.2">
      <c r="A94" t="s">
        <v>541</v>
      </c>
      <c r="B94" t="s">
        <v>723</v>
      </c>
      <c r="C94" t="s">
        <v>493</v>
      </c>
    </row>
    <row r="95" spans="1:3" x14ac:dyDescent="0.2">
      <c r="A95" t="s">
        <v>542</v>
      </c>
      <c r="B95" t="s">
        <v>888</v>
      </c>
      <c r="C95" t="s">
        <v>468</v>
      </c>
    </row>
    <row r="96" spans="1:3" x14ac:dyDescent="0.2">
      <c r="A96" t="s">
        <v>543</v>
      </c>
      <c r="B96" t="s">
        <v>914</v>
      </c>
      <c r="C96" t="s">
        <v>470</v>
      </c>
    </row>
    <row r="97" spans="1:3" x14ac:dyDescent="0.2">
      <c r="A97" t="s">
        <v>529</v>
      </c>
      <c r="B97" t="s">
        <v>771</v>
      </c>
      <c r="C97" t="s">
        <v>530</v>
      </c>
    </row>
    <row r="98" spans="1:3" x14ac:dyDescent="0.2">
      <c r="A98" t="s">
        <v>531</v>
      </c>
      <c r="B98" t="s">
        <v>834</v>
      </c>
      <c r="C98" t="s">
        <v>835</v>
      </c>
    </row>
    <row r="99" spans="1:3" x14ac:dyDescent="0.2">
      <c r="A99" t="s">
        <v>544</v>
      </c>
      <c r="B99" t="s">
        <v>804</v>
      </c>
      <c r="C99" t="s">
        <v>545</v>
      </c>
    </row>
    <row r="100" spans="1:3" x14ac:dyDescent="0.2">
      <c r="A100" t="s">
        <v>549</v>
      </c>
      <c r="B100" t="s">
        <v>934</v>
      </c>
      <c r="C100" t="s">
        <v>935</v>
      </c>
    </row>
    <row r="101" spans="1:3" x14ac:dyDescent="0.2">
      <c r="A101" t="s">
        <v>550</v>
      </c>
      <c r="B101" t="s">
        <v>889</v>
      </c>
      <c r="C101" t="s">
        <v>438</v>
      </c>
    </row>
    <row r="102" spans="1:3" x14ac:dyDescent="0.2">
      <c r="A102" t="s">
        <v>684</v>
      </c>
      <c r="B102" t="s">
        <v>776</v>
      </c>
      <c r="C102" t="s">
        <v>436</v>
      </c>
    </row>
    <row r="103" spans="1:3" x14ac:dyDescent="0.2">
      <c r="A103" t="s">
        <v>551</v>
      </c>
      <c r="B103" t="s">
        <v>819</v>
      </c>
      <c r="C103" t="s">
        <v>552</v>
      </c>
    </row>
    <row r="104" spans="1:3" x14ac:dyDescent="0.2">
      <c r="A104" t="s">
        <v>553</v>
      </c>
      <c r="B104" t="s">
        <v>921</v>
      </c>
      <c r="C104" t="s">
        <v>730</v>
      </c>
    </row>
    <row r="105" spans="1:3" x14ac:dyDescent="0.2">
      <c r="A105" t="s">
        <v>554</v>
      </c>
      <c r="B105" t="s">
        <v>793</v>
      </c>
      <c r="C105" t="s">
        <v>555</v>
      </c>
    </row>
    <row r="106" spans="1:3" x14ac:dyDescent="0.2">
      <c r="A106" t="s">
        <v>556</v>
      </c>
      <c r="B106" t="s">
        <v>868</v>
      </c>
      <c r="C106" t="s">
        <v>438</v>
      </c>
    </row>
    <row r="107" spans="1:3" x14ac:dyDescent="0.2">
      <c r="A107" t="s">
        <v>557</v>
      </c>
      <c r="B107" t="s">
        <v>911</v>
      </c>
      <c r="C107" t="s">
        <v>465</v>
      </c>
    </row>
    <row r="108" spans="1:3" x14ac:dyDescent="0.2">
      <c r="A108" t="s">
        <v>558</v>
      </c>
      <c r="B108" t="s">
        <v>902</v>
      </c>
      <c r="C108" t="s">
        <v>559</v>
      </c>
    </row>
    <row r="109" spans="1:3" x14ac:dyDescent="0.2">
      <c r="A109" t="s">
        <v>685</v>
      </c>
      <c r="B109" t="s">
        <v>787</v>
      </c>
      <c r="C109" t="s">
        <v>788</v>
      </c>
    </row>
    <row r="110" spans="1:3" x14ac:dyDescent="0.2">
      <c r="A110" t="s">
        <v>564</v>
      </c>
      <c r="B110" t="s">
        <v>838</v>
      </c>
      <c r="C110" t="s">
        <v>565</v>
      </c>
    </row>
    <row r="111" spans="1:3" x14ac:dyDescent="0.2">
      <c r="A111" t="s">
        <v>566</v>
      </c>
      <c r="B111" t="s">
        <v>912</v>
      </c>
      <c r="C111" t="s">
        <v>913</v>
      </c>
    </row>
    <row r="112" spans="1:3" x14ac:dyDescent="0.2">
      <c r="A112" t="s">
        <v>567</v>
      </c>
      <c r="B112" t="s">
        <v>828</v>
      </c>
      <c r="C112" t="s">
        <v>489</v>
      </c>
    </row>
    <row r="113" spans="1:3" x14ac:dyDescent="0.2">
      <c r="A113" t="s">
        <v>568</v>
      </c>
      <c r="B113" t="s">
        <v>832</v>
      </c>
      <c r="C113" t="s">
        <v>845</v>
      </c>
    </row>
    <row r="114" spans="1:3" x14ac:dyDescent="0.2">
      <c r="A114" t="s">
        <v>569</v>
      </c>
      <c r="B114" t="s">
        <v>735</v>
      </c>
      <c r="C114" t="s">
        <v>465</v>
      </c>
    </row>
    <row r="115" spans="1:3" x14ac:dyDescent="0.2">
      <c r="A115" t="s">
        <v>570</v>
      </c>
      <c r="B115" t="s">
        <v>807</v>
      </c>
      <c r="C115" t="s">
        <v>734</v>
      </c>
    </row>
    <row r="116" spans="1:3" x14ac:dyDescent="0.2">
      <c r="A116" t="s">
        <v>846</v>
      </c>
      <c r="B116" t="s">
        <v>847</v>
      </c>
      <c r="C116" t="s">
        <v>848</v>
      </c>
    </row>
    <row r="117" spans="1:3" x14ac:dyDescent="0.2">
      <c r="A117" t="s">
        <v>561</v>
      </c>
      <c r="B117" t="s">
        <v>942</v>
      </c>
      <c r="C117" t="s">
        <v>562</v>
      </c>
    </row>
    <row r="118" spans="1:3" x14ac:dyDescent="0.2">
      <c r="A118" t="s">
        <v>560</v>
      </c>
      <c r="B118" t="s">
        <v>832</v>
      </c>
      <c r="C118" t="s">
        <v>837</v>
      </c>
    </row>
    <row r="119" spans="1:3" x14ac:dyDescent="0.2">
      <c r="A119" t="s">
        <v>563</v>
      </c>
      <c r="B119" t="s">
        <v>844</v>
      </c>
      <c r="C119" t="s">
        <v>438</v>
      </c>
    </row>
    <row r="120" spans="1:3" x14ac:dyDescent="0.2">
      <c r="A120" t="s">
        <v>571</v>
      </c>
      <c r="B120" t="s">
        <v>943</v>
      </c>
      <c r="C120" t="s">
        <v>463</v>
      </c>
    </row>
    <row r="121" spans="1:3" x14ac:dyDescent="0.2">
      <c r="A121" t="s">
        <v>695</v>
      </c>
      <c r="B121" t="s">
        <v>800</v>
      </c>
      <c r="C121" t="s">
        <v>801</v>
      </c>
    </row>
    <row r="122" spans="1:3" x14ac:dyDescent="0.2">
      <c r="A122" t="s">
        <v>572</v>
      </c>
      <c r="B122" t="s">
        <v>740</v>
      </c>
      <c r="C122" t="s">
        <v>573</v>
      </c>
    </row>
    <row r="123" spans="1:3" x14ac:dyDescent="0.2">
      <c r="A123" t="s">
        <v>753</v>
      </c>
      <c r="B123" t="s">
        <v>754</v>
      </c>
      <c r="C123" t="s">
        <v>755</v>
      </c>
    </row>
    <row r="124" spans="1:3" x14ac:dyDescent="0.2">
      <c r="A124" t="s">
        <v>574</v>
      </c>
      <c r="B124" t="s">
        <v>748</v>
      </c>
      <c r="C124" t="s">
        <v>436</v>
      </c>
    </row>
    <row r="125" spans="1:3" x14ac:dyDescent="0.2">
      <c r="A125" t="s">
        <v>575</v>
      </c>
      <c r="B125" t="s">
        <v>909</v>
      </c>
      <c r="C125" t="s">
        <v>438</v>
      </c>
    </row>
    <row r="126" spans="1:3" x14ac:dyDescent="0.2">
      <c r="A126" t="s">
        <v>576</v>
      </c>
      <c r="B126" t="s">
        <v>795</v>
      </c>
      <c r="C126" t="s">
        <v>577</v>
      </c>
    </row>
    <row r="127" spans="1:3" x14ac:dyDescent="0.2">
      <c r="A127" t="s">
        <v>816</v>
      </c>
      <c r="B127" t="s">
        <v>817</v>
      </c>
      <c r="C127" t="s">
        <v>573</v>
      </c>
    </row>
    <row r="128" spans="1:3" x14ac:dyDescent="0.2">
      <c r="A128" t="s">
        <v>578</v>
      </c>
      <c r="B128" t="s">
        <v>740</v>
      </c>
      <c r="C128" t="s">
        <v>741</v>
      </c>
    </row>
    <row r="129" spans="1:3" x14ac:dyDescent="0.2">
      <c r="A129" t="s">
        <v>773</v>
      </c>
      <c r="B129" t="s">
        <v>774</v>
      </c>
      <c r="C129" t="s">
        <v>573</v>
      </c>
    </row>
    <row r="130" spans="1:3" x14ac:dyDescent="0.2">
      <c r="A130" t="s">
        <v>814</v>
      </c>
      <c r="B130" t="s">
        <v>815</v>
      </c>
      <c r="C130" t="s">
        <v>755</v>
      </c>
    </row>
    <row r="131" spans="1:3" x14ac:dyDescent="0.2">
      <c r="A131" t="s">
        <v>826</v>
      </c>
      <c r="B131" t="s">
        <v>827</v>
      </c>
      <c r="C131" t="s">
        <v>755</v>
      </c>
    </row>
    <row r="132" spans="1:3" x14ac:dyDescent="0.2">
      <c r="A132" t="s">
        <v>579</v>
      </c>
      <c r="B132" t="s">
        <v>749</v>
      </c>
      <c r="C132" t="s">
        <v>436</v>
      </c>
    </row>
    <row r="133" spans="1:3" x14ac:dyDescent="0.2">
      <c r="A133" t="s">
        <v>580</v>
      </c>
      <c r="B133" t="s">
        <v>881</v>
      </c>
      <c r="C133" t="s">
        <v>734</v>
      </c>
    </row>
    <row r="134" spans="1:3" x14ac:dyDescent="0.2">
      <c r="A134" t="s">
        <v>581</v>
      </c>
      <c r="B134" t="s">
        <v>775</v>
      </c>
      <c r="C134" t="s">
        <v>582</v>
      </c>
    </row>
    <row r="135" spans="1:3" x14ac:dyDescent="0.2">
      <c r="A135" t="s">
        <v>583</v>
      </c>
      <c r="B135" t="s">
        <v>839</v>
      </c>
      <c r="C135" t="s">
        <v>463</v>
      </c>
    </row>
    <row r="136" spans="1:3" x14ac:dyDescent="0.2">
      <c r="A136" t="s">
        <v>584</v>
      </c>
      <c r="B136" t="s">
        <v>905</v>
      </c>
      <c r="C136" t="s">
        <v>585</v>
      </c>
    </row>
    <row r="137" spans="1:3" x14ac:dyDescent="0.2">
      <c r="A137" t="s">
        <v>586</v>
      </c>
      <c r="B137" t="s">
        <v>781</v>
      </c>
      <c r="C137" t="s">
        <v>460</v>
      </c>
    </row>
    <row r="138" spans="1:3" x14ac:dyDescent="0.2">
      <c r="A138" t="s">
        <v>587</v>
      </c>
      <c r="B138" t="s">
        <v>947</v>
      </c>
      <c r="C138" t="s">
        <v>582</v>
      </c>
    </row>
    <row r="139" spans="1:3" x14ac:dyDescent="0.2">
      <c r="A139" t="s">
        <v>588</v>
      </c>
      <c r="B139" t="s">
        <v>899</v>
      </c>
      <c r="C139" t="s">
        <v>460</v>
      </c>
    </row>
    <row r="140" spans="1:3" x14ac:dyDescent="0.2">
      <c r="A140" t="s">
        <v>936</v>
      </c>
      <c r="B140" t="s">
        <v>937</v>
      </c>
      <c r="C140" t="s">
        <v>734</v>
      </c>
    </row>
    <row r="141" spans="1:3" x14ac:dyDescent="0.2">
      <c r="A141" t="s">
        <v>589</v>
      </c>
      <c r="B141" t="s">
        <v>726</v>
      </c>
      <c r="C141" t="s">
        <v>436</v>
      </c>
    </row>
    <row r="142" spans="1:3" x14ac:dyDescent="0.2">
      <c r="A142" t="s">
        <v>590</v>
      </c>
      <c r="B142" t="s">
        <v>858</v>
      </c>
      <c r="C142" t="s">
        <v>436</v>
      </c>
    </row>
    <row r="143" spans="1:3" x14ac:dyDescent="0.2">
      <c r="A143" t="s">
        <v>591</v>
      </c>
      <c r="B143" t="s">
        <v>740</v>
      </c>
      <c r="C143" t="s">
        <v>463</v>
      </c>
    </row>
    <row r="144" spans="1:3" x14ac:dyDescent="0.2">
      <c r="A144" t="s">
        <v>820</v>
      </c>
      <c r="B144" t="s">
        <v>821</v>
      </c>
      <c r="C144" t="s">
        <v>822</v>
      </c>
    </row>
    <row r="145" spans="1:3" x14ac:dyDescent="0.2">
      <c r="A145" t="s">
        <v>823</v>
      </c>
      <c r="B145" t="s">
        <v>815</v>
      </c>
      <c r="C145" t="s">
        <v>436</v>
      </c>
    </row>
    <row r="146" spans="1:3" x14ac:dyDescent="0.2">
      <c r="A146" t="s">
        <v>596</v>
      </c>
      <c r="B146" t="s">
        <v>749</v>
      </c>
      <c r="C146" t="s">
        <v>438</v>
      </c>
    </row>
    <row r="147" spans="1:3" x14ac:dyDescent="0.2">
      <c r="A147" t="s">
        <v>597</v>
      </c>
      <c r="B147" t="s">
        <v>824</v>
      </c>
      <c r="C147" t="s">
        <v>463</v>
      </c>
    </row>
    <row r="148" spans="1:3" x14ac:dyDescent="0.2">
      <c r="A148" t="s">
        <v>598</v>
      </c>
      <c r="B148" t="s">
        <v>930</v>
      </c>
      <c r="C148" t="s">
        <v>436</v>
      </c>
    </row>
    <row r="149" spans="1:3" x14ac:dyDescent="0.2">
      <c r="A149" t="s">
        <v>600</v>
      </c>
      <c r="B149" t="s">
        <v>731</v>
      </c>
      <c r="C149" t="s">
        <v>465</v>
      </c>
    </row>
    <row r="150" spans="1:3" x14ac:dyDescent="0.2">
      <c r="A150" t="s">
        <v>842</v>
      </c>
      <c r="B150" t="s">
        <v>843</v>
      </c>
      <c r="C150" t="s">
        <v>438</v>
      </c>
    </row>
    <row r="151" spans="1:3" x14ac:dyDescent="0.2">
      <c r="A151" t="s">
        <v>601</v>
      </c>
      <c r="B151" t="s">
        <v>885</v>
      </c>
      <c r="C151" t="s">
        <v>606</v>
      </c>
    </row>
    <row r="152" spans="1:3" x14ac:dyDescent="0.2">
      <c r="A152" t="s">
        <v>603</v>
      </c>
      <c r="B152" t="s">
        <v>739</v>
      </c>
      <c r="C152" t="s">
        <v>604</v>
      </c>
    </row>
    <row r="153" spans="1:3" x14ac:dyDescent="0.2">
      <c r="A153" t="s">
        <v>605</v>
      </c>
      <c r="B153" t="s">
        <v>732</v>
      </c>
      <c r="C153" t="s">
        <v>606</v>
      </c>
    </row>
    <row r="154" spans="1:3" x14ac:dyDescent="0.2">
      <c r="A154" t="s">
        <v>607</v>
      </c>
      <c r="B154" t="s">
        <v>780</v>
      </c>
      <c r="C154" t="s">
        <v>606</v>
      </c>
    </row>
    <row r="155" spans="1:3" x14ac:dyDescent="0.2">
      <c r="A155" t="s">
        <v>608</v>
      </c>
      <c r="B155" t="s">
        <v>917</v>
      </c>
      <c r="C155" t="s">
        <v>465</v>
      </c>
    </row>
    <row r="156" spans="1:3" x14ac:dyDescent="0.2">
      <c r="A156" t="s">
        <v>609</v>
      </c>
      <c r="B156" t="s">
        <v>857</v>
      </c>
      <c r="C156" t="s">
        <v>438</v>
      </c>
    </row>
    <row r="157" spans="1:3" x14ac:dyDescent="0.2">
      <c r="A157" t="s">
        <v>610</v>
      </c>
      <c r="B157" t="s">
        <v>946</v>
      </c>
      <c r="C157" t="s">
        <v>585</v>
      </c>
    </row>
    <row r="158" spans="1:3" x14ac:dyDescent="0.2">
      <c r="A158" t="s">
        <v>679</v>
      </c>
      <c r="B158" t="s">
        <v>856</v>
      </c>
      <c r="C158" t="s">
        <v>680</v>
      </c>
    </row>
    <row r="159" spans="1:3" x14ac:dyDescent="0.2">
      <c r="A159" t="s">
        <v>687</v>
      </c>
      <c r="B159" t="s">
        <v>797</v>
      </c>
      <c r="C159" t="s">
        <v>798</v>
      </c>
    </row>
    <row r="160" spans="1:3" x14ac:dyDescent="0.2">
      <c r="A160" t="s">
        <v>689</v>
      </c>
      <c r="B160" t="s">
        <v>833</v>
      </c>
      <c r="C160" t="s">
        <v>690</v>
      </c>
    </row>
    <row r="161" spans="1:3" x14ac:dyDescent="0.2">
      <c r="A161" t="s">
        <v>691</v>
      </c>
      <c r="B161" t="s">
        <v>907</v>
      </c>
      <c r="C161" t="s">
        <v>692</v>
      </c>
    </row>
    <row r="162" spans="1:3" x14ac:dyDescent="0.2">
      <c r="A162" t="s">
        <v>693</v>
      </c>
      <c r="B162" t="s">
        <v>770</v>
      </c>
      <c r="C162" t="s">
        <v>694</v>
      </c>
    </row>
    <row r="163" spans="1:3" x14ac:dyDescent="0.2">
      <c r="A163" t="s">
        <v>865</v>
      </c>
      <c r="B163" t="s">
        <v>866</v>
      </c>
      <c r="C163" t="s">
        <v>867</v>
      </c>
    </row>
    <row r="164" spans="1:3" x14ac:dyDescent="0.2">
      <c r="A164" t="s">
        <v>915</v>
      </c>
      <c r="B164" t="s">
        <v>916</v>
      </c>
      <c r="C164" t="s">
        <v>577</v>
      </c>
    </row>
    <row r="165" spans="1:3" x14ac:dyDescent="0.2">
      <c r="A165" t="s">
        <v>870</v>
      </c>
      <c r="B165" t="s">
        <v>871</v>
      </c>
      <c r="C165" t="s">
        <v>470</v>
      </c>
    </row>
    <row r="166" spans="1:3" x14ac:dyDescent="0.2">
      <c r="A166" t="s">
        <v>756</v>
      </c>
      <c r="B166" t="s">
        <v>757</v>
      </c>
      <c r="C166" t="s">
        <v>438</v>
      </c>
    </row>
    <row r="167" spans="1:3" x14ac:dyDescent="0.2">
      <c r="A167" t="s">
        <v>612</v>
      </c>
      <c r="B167" t="s">
        <v>762</v>
      </c>
      <c r="C167" t="s">
        <v>613</v>
      </c>
    </row>
    <row r="168" spans="1:3" x14ac:dyDescent="0.2">
      <c r="A168" t="s">
        <v>614</v>
      </c>
      <c r="B168" t="s">
        <v>863</v>
      </c>
      <c r="C168" t="s">
        <v>864</v>
      </c>
    </row>
    <row r="169" spans="1:3" x14ac:dyDescent="0.2">
      <c r="A169" t="s">
        <v>879</v>
      </c>
      <c r="B169" t="s">
        <v>852</v>
      </c>
      <c r="C169" t="s">
        <v>880</v>
      </c>
    </row>
    <row r="170" spans="1:3" x14ac:dyDescent="0.2">
      <c r="A170" t="s">
        <v>724</v>
      </c>
      <c r="B170" t="s">
        <v>725</v>
      </c>
      <c r="C170" t="s">
        <v>577</v>
      </c>
    </row>
    <row r="171" spans="1:3" x14ac:dyDescent="0.2">
      <c r="A171" t="s">
        <v>615</v>
      </c>
      <c r="B171" t="s">
        <v>922</v>
      </c>
      <c r="C171" t="s">
        <v>438</v>
      </c>
    </row>
    <row r="172" spans="1:3" x14ac:dyDescent="0.2">
      <c r="A172" t="s">
        <v>806</v>
      </c>
      <c r="B172" t="s">
        <v>757</v>
      </c>
      <c r="C172" t="s">
        <v>438</v>
      </c>
    </row>
    <row r="173" spans="1:3" x14ac:dyDescent="0.2">
      <c r="A173" t="s">
        <v>616</v>
      </c>
      <c r="B173" t="s">
        <v>762</v>
      </c>
      <c r="C173" t="s">
        <v>613</v>
      </c>
    </row>
    <row r="174" spans="1:3" x14ac:dyDescent="0.2">
      <c r="A174" t="s">
        <v>617</v>
      </c>
      <c r="B174" t="s">
        <v>863</v>
      </c>
      <c r="C174" t="s">
        <v>864</v>
      </c>
    </row>
    <row r="175" spans="1:3" x14ac:dyDescent="0.2">
      <c r="A175" t="s">
        <v>851</v>
      </c>
      <c r="B175" t="s">
        <v>852</v>
      </c>
      <c r="C175" t="s">
        <v>853</v>
      </c>
    </row>
    <row r="176" spans="1:3" x14ac:dyDescent="0.2">
      <c r="A176" t="s">
        <v>611</v>
      </c>
      <c r="B176" t="s">
        <v>836</v>
      </c>
      <c r="C176" t="s">
        <v>438</v>
      </c>
    </row>
    <row r="177" spans="1:3" x14ac:dyDescent="0.2">
      <c r="A177" t="s">
        <v>618</v>
      </c>
      <c r="B177" t="s">
        <v>760</v>
      </c>
      <c r="C177" t="s">
        <v>619</v>
      </c>
    </row>
    <row r="178" spans="1:3" x14ac:dyDescent="0.2">
      <c r="A178" t="s">
        <v>620</v>
      </c>
      <c r="B178" t="s">
        <v>767</v>
      </c>
      <c r="C178" t="s">
        <v>621</v>
      </c>
    </row>
    <row r="179" spans="1:3" x14ac:dyDescent="0.2">
      <c r="A179" t="s">
        <v>622</v>
      </c>
      <c r="B179" t="s">
        <v>878</v>
      </c>
      <c r="C179" t="s">
        <v>734</v>
      </c>
    </row>
    <row r="180" spans="1:3" x14ac:dyDescent="0.2">
      <c r="A180" t="s">
        <v>624</v>
      </c>
      <c r="B180" t="s">
        <v>733</v>
      </c>
      <c r="C180" t="s">
        <v>734</v>
      </c>
    </row>
    <row r="181" spans="1:3" x14ac:dyDescent="0.2">
      <c r="A181" t="s">
        <v>927</v>
      </c>
      <c r="B181" t="s">
        <v>928</v>
      </c>
      <c r="C181" t="s">
        <v>438</v>
      </c>
    </row>
    <row r="182" spans="1:3" x14ac:dyDescent="0.2">
      <c r="A182" t="s">
        <v>625</v>
      </c>
      <c r="B182" t="s">
        <v>744</v>
      </c>
      <c r="C182" t="s">
        <v>626</v>
      </c>
    </row>
    <row r="183" spans="1:3" x14ac:dyDescent="0.2">
      <c r="A183" t="s">
        <v>751</v>
      </c>
      <c r="B183" t="s">
        <v>752</v>
      </c>
      <c r="C183" t="s">
        <v>565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DF1F590CBE18E4484C806EB4134EF18" ma:contentTypeVersion="16" ma:contentTypeDescription="Creare un nuovo documento." ma:contentTypeScope="" ma:versionID="e3e47c32ae9f54c1973d76b372999427">
  <xsd:schema xmlns:xsd="http://www.w3.org/2001/XMLSchema" xmlns:xs="http://www.w3.org/2001/XMLSchema" xmlns:p="http://schemas.microsoft.com/office/2006/metadata/properties" xmlns:ns2="5d8a29d9-0376-479f-b28d-d37ef72ee79c" xmlns:ns3="65875b9e-37af-4e80-beac-007843f39698" targetNamespace="http://schemas.microsoft.com/office/2006/metadata/properties" ma:root="true" ma:fieldsID="bed5e706580250bc96cbad43f6f0698e" ns2:_="" ns3:_="">
    <xsd:import namespace="5d8a29d9-0376-479f-b28d-d37ef72ee79c"/>
    <xsd:import namespace="65875b9e-37af-4e80-beac-007843f3969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Comment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8a29d9-0376-479f-b28d-d37ef72ee7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Tag immagine" ma:readOnly="false" ma:fieldId="{5cf76f15-5ced-4ddc-b409-7134ff3c332f}" ma:taxonomyMulti="true" ma:sspId="cbec0234-861b-4971-9076-d25aa62994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Comment" ma:index="21" nillable="true" ma:displayName="Comment" ma:internalName="Comment">
      <xsd:simpleType>
        <xsd:restriction base="dms:Text">
          <xsd:maxLength value="255"/>
        </xsd:restriction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875b9e-37af-4e80-beac-007843f3969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159b508-bb94-4397-9e82-ed4803f17d60}" ma:internalName="TaxCatchAll" ma:showField="CatchAllData" ma:web="65875b9e-37af-4e80-beac-007843f3969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 xmlns="5d8a29d9-0376-479f-b28d-d37ef72ee79c" xsi:nil="true"/>
    <SharedWithUsers xmlns="65875b9e-37af-4e80-beac-007843f39698">
      <UserInfo>
        <DisplayName/>
        <AccountId xsi:nil="true"/>
        <AccountType/>
      </UserInfo>
    </SharedWithUsers>
    <lcf76f155ced4ddcb4097134ff3c332f xmlns="5d8a29d9-0376-479f-b28d-d37ef72ee79c">
      <Terms xmlns="http://schemas.microsoft.com/office/infopath/2007/PartnerControls"/>
    </lcf76f155ced4ddcb4097134ff3c332f>
    <TaxCatchAll xmlns="65875b9e-37af-4e80-beac-007843f3969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9631BC3B-5178-4947-A213-9598C9F947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8a29d9-0376-479f-b28d-d37ef72ee79c"/>
    <ds:schemaRef ds:uri="65875b9e-37af-4e80-beac-007843f396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13A41A8-5B08-46B1-B087-246B789F4E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DC7D12-9B80-4065-87D3-C125168B3063}">
  <ds:schemaRefs>
    <ds:schemaRef ds:uri="65875b9e-37af-4e80-beac-007843f39698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5d8a29d9-0376-479f-b28d-d37ef72ee79c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39AA624D-575C-D744-8456-69C78E34B5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Migration Helper</vt:lpstr>
      <vt:lpstr>Dependency Chart</vt:lpstr>
      <vt:lpstr>Schema 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Ishikawa, Kodai</dc:creator>
  <cp:lastModifiedBy>Ishikawa, Kodai</cp:lastModifiedBy>
  <dcterms:created xsi:type="dcterms:W3CDTF">2023-05-10T14:42:27Z</dcterms:created>
  <dcterms:modified xsi:type="dcterms:W3CDTF">2023-06-05T18:24:50Z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0x010100DDF1F590CBE18E4484C806EB4134EF18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_activity">
    <vt:lpwstr>{"FileActivityType":"9","FileActivityTimeStamp":"2023-05-17T13:43:24.997Z","FileActivityUsersOnPage":[{"DisplayName":"Ishikawa, Kodai","Id":"kodai.ishikawa@dynatrace.com"}],"FileActivityNavigationId":null}</vt:lpwstr>
  </property>
  <property fmtid="{D5CDD505-2E9C-101B-9397-08002B2CF9AE}" pid="7" name="TriggerFlowInfo">
    <vt:lpwstr/>
  </property>
</Properties>
</file>